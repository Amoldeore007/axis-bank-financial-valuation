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7.xml" ContentType="application/vnd.openxmlformats-officedocument.spreadsheetml.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ore\OneDrive\Documents\MS Excel\"/>
    </mc:Choice>
  </mc:AlternateContent>
  <xr:revisionPtr revIDLastSave="0" documentId="13_ncr:1_{FE800C49-951F-4BFF-A7B0-4945C0DC5EAF}" xr6:coauthVersionLast="47" xr6:coauthVersionMax="47" xr10:uidLastSave="{00000000-0000-0000-0000-000000000000}"/>
  <bookViews>
    <workbookView xWindow="-108" yWindow="-108" windowWidth="23256" windowHeight="13176" xr2:uid="{BD6A6D98-F700-41D0-8D20-40EAE91D4823}"/>
  </bookViews>
  <sheets>
    <sheet name="Income_Statement_Data" sheetId="1" r:id="rId1"/>
    <sheet name="Balance_Sheet_Data" sheetId="5" r:id="rId2"/>
    <sheet name="Market_Data" sheetId="8" r:id="rId3"/>
    <sheet name="Ratios_Data" sheetId="6" r:id="rId4"/>
    <sheet name="Trend_Analysis" sheetId="9" r:id="rId5"/>
    <sheet name="TVM_Analysis" sheetId="10" r:id="rId6"/>
    <sheet name="WACC_Analysis" sheetId="11" r:id="rId7"/>
    <sheet name="Capital_Budgeting_Analysis" sheetId="12" r:id="rId8"/>
    <sheet name="Capital_Structure_Analysis" sheetId="16" r:id="rId9"/>
    <sheet name="Leverage_Analysis" sheetId="13" r:id="rId10"/>
    <sheet name="Ratio_Analysis" sheetId="17" r:id="rId11"/>
    <sheet name="Dividend_Policy_Analysis" sheetId="20" r:id="rId12"/>
    <sheet name="Final_Conclusion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0" l="1"/>
  <c r="B5" i="11"/>
  <c r="C2" i="20" a="1"/>
  <c r="D5" i="20"/>
  <c r="E5" i="20" s="1"/>
  <c r="D6" i="20"/>
  <c r="E6" i="20" s="1"/>
  <c r="D7" i="20"/>
  <c r="E7" i="20" s="1"/>
  <c r="D4" i="20"/>
  <c r="E4" i="20" s="1"/>
  <c r="B4" i="20"/>
  <c r="B5" i="20"/>
  <c r="B6" i="20"/>
  <c r="B7" i="20"/>
  <c r="B9" i="11"/>
  <c r="D8" i="12"/>
  <c r="I3" i="17"/>
  <c r="I4" i="17"/>
  <c r="I5" i="17"/>
  <c r="I6" i="17"/>
  <c r="I7" i="17"/>
  <c r="H3" i="17"/>
  <c r="H4" i="17"/>
  <c r="H5" i="17"/>
  <c r="H6" i="17"/>
  <c r="H7" i="17"/>
  <c r="G3" i="17"/>
  <c r="G4" i="17"/>
  <c r="G5" i="17"/>
  <c r="G6" i="17"/>
  <c r="G7" i="17"/>
  <c r="F3" i="17"/>
  <c r="F4" i="17"/>
  <c r="F5" i="17"/>
  <c r="F6" i="17"/>
  <c r="F7" i="17"/>
  <c r="E2" i="17" a="1"/>
  <c r="D2" i="17" a="1"/>
  <c r="B2" i="17" a="1"/>
  <c r="I2" i="17" s="1"/>
  <c r="C2" i="17" a="1"/>
  <c r="F3" i="16"/>
  <c r="F4" i="16"/>
  <c r="F5" i="16"/>
  <c r="F6" i="16"/>
  <c r="F7" i="16"/>
  <c r="F2" i="16"/>
  <c r="E3" i="16"/>
  <c r="E4" i="16"/>
  <c r="E5" i="16"/>
  <c r="E6" i="16"/>
  <c r="E7" i="16"/>
  <c r="E2" i="16"/>
  <c r="D3" i="16"/>
  <c r="D4" i="16"/>
  <c r="D5" i="16"/>
  <c r="D6" i="16"/>
  <c r="D7" i="16"/>
  <c r="D2" i="16"/>
  <c r="C7" i="16"/>
  <c r="C6" i="16"/>
  <c r="C5" i="16"/>
  <c r="C4" i="16"/>
  <c r="C3" i="16"/>
  <c r="C2" i="16"/>
  <c r="B7" i="16"/>
  <c r="B6" i="16"/>
  <c r="B5" i="16"/>
  <c r="B4" i="16"/>
  <c r="B3" i="16"/>
  <c r="B2" i="16"/>
  <c r="I2" i="13"/>
  <c r="I3" i="13"/>
  <c r="I4" i="13"/>
  <c r="H3" i="13"/>
  <c r="H4" i="13"/>
  <c r="H5" i="13"/>
  <c r="H6" i="13"/>
  <c r="H7" i="13"/>
  <c r="I5" i="13"/>
  <c r="I6" i="13"/>
  <c r="I7" i="13"/>
  <c r="D4" i="13"/>
  <c r="D5" i="13"/>
  <c r="D6" i="13"/>
  <c r="D7" i="13"/>
  <c r="F2" i="13" a="1"/>
  <c r="C2" i="13" a="1"/>
  <c r="B2" i="13" a="1"/>
  <c r="D3" i="13" s="1"/>
  <c r="B8" i="11"/>
  <c r="B3" i="11"/>
  <c r="B2" i="11"/>
  <c r="B5" i="10"/>
  <c r="I6" i="10"/>
  <c r="I5" i="10"/>
  <c r="I4" i="10"/>
  <c r="I3" i="10"/>
  <c r="H6" i="10"/>
  <c r="J6" i="10" s="1"/>
  <c r="H5" i="10"/>
  <c r="H4" i="10"/>
  <c r="H3" i="10"/>
  <c r="B6" i="10"/>
  <c r="B4" i="10"/>
  <c r="B3" i="10"/>
  <c r="G4" i="9"/>
  <c r="G5" i="9"/>
  <c r="G6" i="9"/>
  <c r="G7" i="9"/>
  <c r="G3" i="9"/>
  <c r="F4" i="9"/>
  <c r="F5" i="9"/>
  <c r="F6" i="9"/>
  <c r="F7" i="9"/>
  <c r="F3" i="9"/>
  <c r="I7" i="9"/>
  <c r="I6" i="9"/>
  <c r="I5" i="9"/>
  <c r="I4" i="9"/>
  <c r="I3" i="9"/>
  <c r="I2" i="9"/>
  <c r="H7" i="9"/>
  <c r="H6" i="9"/>
  <c r="H5" i="9"/>
  <c r="H4" i="9"/>
  <c r="H3" i="9"/>
  <c r="H2" i="9"/>
  <c r="E7" i="9"/>
  <c r="E6" i="9"/>
  <c r="E5" i="9"/>
  <c r="E4" i="9"/>
  <c r="E3" i="9"/>
  <c r="E2" i="9"/>
  <c r="B7" i="9"/>
  <c r="B6" i="9"/>
  <c r="B5" i="9"/>
  <c r="B4" i="9"/>
  <c r="B3" i="9"/>
  <c r="B2" i="9"/>
  <c r="J3" i="10" l="1"/>
  <c r="J4" i="10"/>
  <c r="J5" i="10"/>
  <c r="J7" i="10"/>
  <c r="B4" i="11"/>
  <c r="I6" i="12" s="1"/>
  <c r="H2" i="17"/>
  <c r="F2" i="17"/>
  <c r="G2" i="17"/>
  <c r="H2" i="13"/>
  <c r="E3" i="13"/>
  <c r="E7" i="13"/>
  <c r="G7" i="13" s="1"/>
  <c r="E6" i="13"/>
  <c r="G6" i="13" s="1"/>
  <c r="E5" i="13"/>
  <c r="G5" i="13" s="1"/>
  <c r="E4" i="13"/>
  <c r="G4" i="13" s="1"/>
  <c r="C7" i="9"/>
  <c r="D7" i="9" s="1"/>
  <c r="C4" i="9"/>
  <c r="D4" i="9" s="1"/>
  <c r="C5" i="9"/>
  <c r="D5" i="9" s="1"/>
  <c r="C3" i="9"/>
  <c r="D3" i="9" s="1"/>
  <c r="C6" i="9"/>
  <c r="D6" i="9" s="1"/>
  <c r="C2" i="12" l="1"/>
  <c r="D2" i="12" s="1"/>
  <c r="E2" i="12" s="1"/>
  <c r="E3" i="12" s="1"/>
  <c r="E4" i="12" s="1"/>
  <c r="E5" i="12" s="1"/>
  <c r="C6" i="12"/>
  <c r="D6" i="12" s="1"/>
  <c r="E6" i="12" s="1"/>
  <c r="C3" i="12"/>
  <c r="D3" i="12" s="1"/>
  <c r="C7" i="12"/>
  <c r="D7" i="12" s="1"/>
  <c r="E7" i="12" s="1"/>
  <c r="C4" i="12"/>
  <c r="D4" i="12" s="1"/>
  <c r="C5" i="12"/>
  <c r="D5" i="12" s="1"/>
  <c r="D9" i="12" l="1"/>
  <c r="E4" i="10" a="1"/>
  <c r="E6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tc={7A086109-79DD-4A7B-AFB2-546D73C6AA5B}</author>
  </authors>
  <commentList>
    <comment ref="B5" authorId="0" shapeId="0" xr:uid="{7A086109-79DD-4A7B-AFB2-546D73C6AA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of Debt is assumed at 7% as banking interest includes deposits
Hence, calculated 37% is not realistic
Final WACC is estimated at 9%, indicating relatively low cost of capital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<sst xmlns="http://schemas.openxmlformats.org/spreadsheetml/2006/main" count="474" uniqueCount="345">
  <si>
    <t xml:space="preserve">      Provisions written back</t>
  </si>
  <si>
    <t xml:space="preserve">      Bad debts recovered</t>
  </si>
  <si>
    <t xml:space="preserve">    Prior period income</t>
  </si>
  <si>
    <t xml:space="preserve">  Prior period and extraordinary income</t>
  </si>
  <si>
    <t xml:space="preserve">  Other income</t>
  </si>
  <si>
    <t xml:space="preserve">        Gain relating to forex transactions</t>
  </si>
  <si>
    <t xml:space="preserve">          Profit on revaluation of investments</t>
  </si>
  <si>
    <t xml:space="preserve">        Gain on securities transactions, sale of invest</t>
  </si>
  <si>
    <t xml:space="preserve">      Income from treasury operations</t>
  </si>
  <si>
    <t xml:space="preserve">      Profit on securitisation of assets and loans</t>
  </si>
  <si>
    <t xml:space="preserve">      Dividends</t>
  </si>
  <si>
    <t xml:space="preserve">        Interest from other sources earned by banks</t>
  </si>
  <si>
    <t xml:space="preserve">        Interest earned by banks on investments</t>
  </si>
  <si>
    <t xml:space="preserve">        Interest earned by banks from RBI &amp; banks</t>
  </si>
  <si>
    <t xml:space="preserve">        Interest on advances made by banks</t>
  </si>
  <si>
    <t xml:space="preserve">      Interest income</t>
  </si>
  <si>
    <t xml:space="preserve">    Fund based financial services income</t>
  </si>
  <si>
    <t xml:space="preserve">      Brokerage and financial service fees</t>
  </si>
  <si>
    <t xml:space="preserve">    Fee based financial services income</t>
  </si>
  <si>
    <t xml:space="preserve">  Income from financial services</t>
  </si>
  <si>
    <t>Total income</t>
  </si>
  <si>
    <t xml:space="preserve"> </t>
  </si>
  <si>
    <t xml:space="preserve">    Less Deferred tax assets/credit</t>
  </si>
  <si>
    <t xml:space="preserve">    Deferred tax</t>
  </si>
  <si>
    <t xml:space="preserve">    Corporate tax</t>
  </si>
  <si>
    <t xml:space="preserve">  Provision for direct tax</t>
  </si>
  <si>
    <t xml:space="preserve">      Loss on sale of assets</t>
  </si>
  <si>
    <t xml:space="preserve">    Extraordinary expenses</t>
  </si>
  <si>
    <t xml:space="preserve">  Prior period and extraordinary expenses</t>
  </si>
  <si>
    <t xml:space="preserve">  Less: Expenses charged to other heads</t>
  </si>
  <si>
    <t xml:space="preserve">      Provn for unspecified contingencies</t>
  </si>
  <si>
    <t xml:space="preserve">      Provn for bad debts</t>
  </si>
  <si>
    <t xml:space="preserve">    Provisions</t>
  </si>
  <si>
    <t xml:space="preserve">    Depreciation</t>
  </si>
  <si>
    <t xml:space="preserve">  Non-cash charges</t>
  </si>
  <si>
    <t xml:space="preserve">    Miscellaneous expenditure</t>
  </si>
  <si>
    <t xml:space="preserve">    Printing &amp; stationery expenses</t>
  </si>
  <si>
    <t xml:space="preserve">    Communications expenses</t>
  </si>
  <si>
    <t xml:space="preserve">    Advertising expenses</t>
  </si>
  <si>
    <t xml:space="preserve">    Non-executive directors' fees</t>
  </si>
  <si>
    <t xml:space="preserve">    Outsourced professional jobs</t>
  </si>
  <si>
    <t xml:space="preserve">    Insurance premium paid</t>
  </si>
  <si>
    <t xml:space="preserve">    Repairs &amp; maintenance</t>
  </si>
  <si>
    <t xml:space="preserve">    Rent &amp; lease rent</t>
  </si>
  <si>
    <t xml:space="preserve">    Compensation to employees</t>
  </si>
  <si>
    <t xml:space="preserve">             Loss on revaluation of investments</t>
  </si>
  <si>
    <t xml:space="preserve">           Loss on securities trans &amp; on sale of invest</t>
  </si>
  <si>
    <t xml:space="preserve">        Treasury operations expenses</t>
  </si>
  <si>
    <t xml:space="preserve">        Interest expenses</t>
  </si>
  <si>
    <t xml:space="preserve">      Fund based financial services expenses</t>
  </si>
  <si>
    <t xml:space="preserve">    Financial service expenses</t>
  </si>
  <si>
    <t xml:space="preserve">  Operating expenses</t>
  </si>
  <si>
    <t>Total expenses</t>
  </si>
  <si>
    <t xml:space="preserve">  Retained profits</t>
  </si>
  <si>
    <t xml:space="preserve">  Dividend tax</t>
  </si>
  <si>
    <t xml:space="preserve">    Preference dividend</t>
  </si>
  <si>
    <t xml:space="preserve">    Equity dividend</t>
  </si>
  <si>
    <t xml:space="preserve">  Dividends</t>
  </si>
  <si>
    <t xml:space="preserve">  Surplus/deficit as at the end of the year</t>
  </si>
  <si>
    <t xml:space="preserve">  Profit retained/Loss' during the year</t>
  </si>
  <si>
    <t xml:space="preserve">  Transfer to reserves</t>
  </si>
  <si>
    <t xml:space="preserve">  Transfer from reserves</t>
  </si>
  <si>
    <t xml:space="preserve">  Surplus/deficit as at the beginning of the year</t>
  </si>
  <si>
    <t xml:space="preserve">  PAT (Profit after tax)</t>
  </si>
  <si>
    <t xml:space="preserve">      Prior period and extraordinary expenses</t>
  </si>
  <si>
    <t xml:space="preserve">      Prior period and extraordinary income</t>
  </si>
  <si>
    <t xml:space="preserve">    Net prior period &amp; extraordinary income</t>
  </si>
  <si>
    <t xml:space="preserve">  Profit after tax net of P&amp;E</t>
  </si>
  <si>
    <t xml:space="preserve">    Other income</t>
  </si>
  <si>
    <t xml:space="preserve">    Provision for direct tax</t>
  </si>
  <si>
    <t xml:space="preserve">      For unspecified contingencies</t>
  </si>
  <si>
    <t xml:space="preserve">      For bad &amp; doubtful advances by banks, nbfcs</t>
  </si>
  <si>
    <t xml:space="preserve">  PBPT net of P&amp;E&amp;OI</t>
  </si>
  <si>
    <t>Profits</t>
  </si>
  <si>
    <t>Particulars</t>
  </si>
  <si>
    <t>Mar-20</t>
  </si>
  <si>
    <t>Mar-21</t>
  </si>
  <si>
    <t>Mar-22</t>
  </si>
  <si>
    <t>Mar-23</t>
  </si>
  <si>
    <t>Mar-24</t>
  </si>
  <si>
    <t>Mar-25</t>
  </si>
  <si>
    <t xml:space="preserve">Particulars   </t>
  </si>
  <si>
    <t>Total liabilities</t>
  </si>
  <si>
    <t xml:space="preserve">  Total Capital</t>
  </si>
  <si>
    <t xml:space="preserve">    Paid up equity capital</t>
  </si>
  <si>
    <t xml:space="preserve">  Reserves and funds</t>
  </si>
  <si>
    <t xml:space="preserve">    Free reserves</t>
  </si>
  <si>
    <t xml:space="preserve">      General reserves</t>
  </si>
  <si>
    <t xml:space="preserve">      Balance as per profit &amp; loss account</t>
  </si>
  <si>
    <t xml:space="preserve">    Specific reserves</t>
  </si>
  <si>
    <t xml:space="preserve">      Security premium reserves (net of deductions)</t>
  </si>
  <si>
    <t xml:space="preserve">      Capital reserves (incl grants and subsidies)</t>
  </si>
  <si>
    <t xml:space="preserve">  Deposits (accepted by commercial banks)</t>
  </si>
  <si>
    <t xml:space="preserve">    Demand deposits</t>
  </si>
  <si>
    <t xml:space="preserve">    Saving deposits</t>
  </si>
  <si>
    <t xml:space="preserve">    Term deposits</t>
  </si>
  <si>
    <t xml:space="preserve">  Borrowings</t>
  </si>
  <si>
    <t xml:space="preserve">    From banks</t>
  </si>
  <si>
    <t xml:space="preserve">    From financial institutions</t>
  </si>
  <si>
    <t xml:space="preserve">    Debentures and bonds</t>
  </si>
  <si>
    <t xml:space="preserve">    Foreign currency borrowings</t>
  </si>
  <si>
    <t xml:space="preserve">    Sub-ordinated debt</t>
  </si>
  <si>
    <t xml:space="preserve">    Borrowings from rbi</t>
  </si>
  <si>
    <t xml:space="preserve">  Deferred tax liability</t>
  </si>
  <si>
    <t xml:space="preserve">  Current liabilities &amp; provisions</t>
  </si>
  <si>
    <t xml:space="preserve">    Current liabilities</t>
  </si>
  <si>
    <t xml:space="preserve">    Provisions outstanding</t>
  </si>
  <si>
    <t>Total assets</t>
  </si>
  <si>
    <t xml:space="preserve">  Net fixed assets</t>
  </si>
  <si>
    <t xml:space="preserve">    Intangible assets, net</t>
  </si>
  <si>
    <t xml:space="preserve">    Land and buildings, net</t>
  </si>
  <si>
    <t xml:space="preserve">  Capital work-in-progress</t>
  </si>
  <si>
    <t xml:space="preserve">  Investments</t>
  </si>
  <si>
    <t xml:space="preserve">    Investment in equity shares</t>
  </si>
  <si>
    <t xml:space="preserve">    Investment in debt instruments</t>
  </si>
  <si>
    <t xml:space="preserve">  Deferred tax assets</t>
  </si>
  <si>
    <t xml:space="preserve">  Current assets</t>
  </si>
  <si>
    <t xml:space="preserve">    Cash and bank balance</t>
  </si>
  <si>
    <t xml:space="preserve">    Inventories</t>
  </si>
  <si>
    <t xml:space="preserve">    Receivables</t>
  </si>
  <si>
    <t xml:space="preserve">  Loans and advances by finance companies</t>
  </si>
  <si>
    <t xml:space="preserve">  Net fixed assets net of reval</t>
  </si>
  <si>
    <t xml:space="preserve">  Tangible net worth</t>
  </si>
  <si>
    <t xml:space="preserve">  Total outside liabilities</t>
  </si>
  <si>
    <t>Net fixed assets</t>
  </si>
  <si>
    <t xml:space="preserve">  Intangible assets</t>
  </si>
  <si>
    <t xml:space="preserve">  Buildings</t>
  </si>
  <si>
    <t xml:space="preserve">  Furniture, social amenities &amp; other fixed assets</t>
  </si>
  <si>
    <t>Capital work-in-progress</t>
  </si>
  <si>
    <t>Investments</t>
  </si>
  <si>
    <t xml:space="preserve">  Investment in equity shares</t>
  </si>
  <si>
    <t xml:space="preserve">  Investment in debt instruments</t>
  </si>
  <si>
    <t xml:space="preserve">    Investment in non-govt debt instruments</t>
  </si>
  <si>
    <t xml:space="preserve">    Investment in instruments of govt &amp; local bodies</t>
  </si>
  <si>
    <t xml:space="preserve">  Investment in others</t>
  </si>
  <si>
    <t>Current assets (incl long term portion excl inv)</t>
  </si>
  <si>
    <t xml:space="preserve">  Inventories</t>
  </si>
  <si>
    <t xml:space="preserve">    Repossessed, hired &amp; other stock of assets</t>
  </si>
  <si>
    <t xml:space="preserve">  Other receivables</t>
  </si>
  <si>
    <t xml:space="preserve">    Accrued income including interest receivables</t>
  </si>
  <si>
    <t xml:space="preserve">    Other miscellaenous receivables (incl. lease terminal adjustment)</t>
  </si>
  <si>
    <t xml:space="preserve">  Cash and bank balance</t>
  </si>
  <si>
    <t xml:space="preserve">    Cash balance</t>
  </si>
  <si>
    <t xml:space="preserve">    Bank balance</t>
  </si>
  <si>
    <t>Loans and advances by finance companies</t>
  </si>
  <si>
    <t xml:space="preserve">  Term loans</t>
  </si>
  <si>
    <t xml:space="preserve">  Short-term loans</t>
  </si>
  <si>
    <t>Loans &amp; advances</t>
  </si>
  <si>
    <t xml:space="preserve">  Deposits</t>
  </si>
  <si>
    <t xml:space="preserve">  Expenses paid in advance</t>
  </si>
  <si>
    <t>Deferred tax assets</t>
  </si>
  <si>
    <t xml:space="preserve"> Particulars</t>
  </si>
  <si>
    <t>Deposits (accepted by commercial banks)</t>
  </si>
  <si>
    <t xml:space="preserve">  Demand deposits</t>
  </si>
  <si>
    <t xml:space="preserve">    Demand deposits from banks</t>
  </si>
  <si>
    <t xml:space="preserve">    Demand deposits from others</t>
  </si>
  <si>
    <t xml:space="preserve">  Saving deposits</t>
  </si>
  <si>
    <t xml:space="preserve">  Term deposits</t>
  </si>
  <si>
    <t xml:space="preserve">    Term deposits from banks</t>
  </si>
  <si>
    <t xml:space="preserve">    Term deposits from others</t>
  </si>
  <si>
    <t xml:space="preserve">  Of which: deposits from india</t>
  </si>
  <si>
    <t xml:space="preserve">  Of which: deposits from outside india</t>
  </si>
  <si>
    <t>Borrowings</t>
  </si>
  <si>
    <t xml:space="preserve">  Borrowing from banks</t>
  </si>
  <si>
    <t xml:space="preserve">    Secured bank borrowings</t>
  </si>
  <si>
    <t xml:space="preserve">    Unsecured bank borrowings</t>
  </si>
  <si>
    <t xml:space="preserve">  Borrowing from financial institutions</t>
  </si>
  <si>
    <t xml:space="preserve">    Secured financial institutional borrowings</t>
  </si>
  <si>
    <t xml:space="preserve">    Unsecured borrowings from financial institutions</t>
  </si>
  <si>
    <t xml:space="preserve">  Debentures and bonds</t>
  </si>
  <si>
    <t xml:space="preserve">    Unsecured debentures</t>
  </si>
  <si>
    <t xml:space="preserve">  Foreign currency borrowings</t>
  </si>
  <si>
    <t xml:space="preserve">    Unsecured foreign currency borrowings</t>
  </si>
  <si>
    <t xml:space="preserve">  Sub-ordinated debt (bank)</t>
  </si>
  <si>
    <t xml:space="preserve">  Bank's borrowings from rbi</t>
  </si>
  <si>
    <t xml:space="preserve">  Total unsecured borrowings</t>
  </si>
  <si>
    <t xml:space="preserve">  Long term borrowings</t>
  </si>
  <si>
    <t xml:space="preserve">  External commercial borrowings</t>
  </si>
  <si>
    <t>Shareholder's funds</t>
  </si>
  <si>
    <t xml:space="preserve">  Total capital</t>
  </si>
  <si>
    <t xml:space="preserve">  Borrowings from rbi</t>
  </si>
  <si>
    <t>Deferred tax liability</t>
  </si>
  <si>
    <t>Current liab incl long term portion &amp; excl borr</t>
  </si>
  <si>
    <t xml:space="preserve">  Acceptances</t>
  </si>
  <si>
    <t xml:space="preserve">  Interest accrued but not due</t>
  </si>
  <si>
    <t xml:space="preserve">  Other current liabilities</t>
  </si>
  <si>
    <t>Provisions</t>
  </si>
  <si>
    <t xml:space="preserve">  Provision for bad and doubtful debts</t>
  </si>
  <si>
    <t xml:space="preserve">  Other provisions</t>
  </si>
  <si>
    <t>Announcement date</t>
  </si>
  <si>
    <t>Dividend rate</t>
  </si>
  <si>
    <t>Dividend per share</t>
  </si>
  <si>
    <t>Dividend type</t>
  </si>
  <si>
    <t>Record date</t>
  </si>
  <si>
    <t>BSE</t>
  </si>
  <si>
    <t>NSE</t>
  </si>
  <si>
    <t>(%)</t>
  </si>
  <si>
    <t>Ex-date</t>
  </si>
  <si>
    <t>Closing price</t>
  </si>
  <si>
    <t>Final</t>
  </si>
  <si>
    <t>EPS basic</t>
  </si>
  <si>
    <t>EPS diluted</t>
  </si>
  <si>
    <t>Nominal value of shares (Rs.)</t>
  </si>
  <si>
    <t>Potential addn to eq shares on stock options</t>
  </si>
  <si>
    <t>Potential addn to eq shares due to other sources</t>
  </si>
  <si>
    <t>Price / EPS (PE)(times)</t>
  </si>
  <si>
    <t>Earnings per share (EPS)(Indian Rupee)</t>
  </si>
  <si>
    <t>Cash earnings per share (CPS)(Indian Rupee)</t>
  </si>
  <si>
    <t>Price / book value (PB)(times)</t>
  </si>
  <si>
    <t>Book value per share (Indian Rupee)</t>
  </si>
  <si>
    <t>Adjusted closing price (Indian Rupee)</t>
  </si>
  <si>
    <t>Yield (%)</t>
  </si>
  <si>
    <t>Equity dividend / Net worth (%)</t>
  </si>
  <si>
    <t>Equity dividend / PAT (times)</t>
  </si>
  <si>
    <t>Dividend cover (times)</t>
  </si>
  <si>
    <t>RONW (%)</t>
  </si>
  <si>
    <t>ROCE (%)</t>
  </si>
  <si>
    <t>ROTA (%)</t>
  </si>
  <si>
    <t>Enterprise value</t>
  </si>
  <si>
    <t>Market capitalisation / enterprise value (times)</t>
  </si>
  <si>
    <t>Enterprise value / PBDITA (times)</t>
  </si>
  <si>
    <t>Market capitalisation</t>
  </si>
  <si>
    <t>Preference capital</t>
  </si>
  <si>
    <t>Cash &amp; cash equivalents (less)</t>
  </si>
  <si>
    <t>Debt equity ratio (times)</t>
  </si>
  <si>
    <t>Equity capital</t>
  </si>
  <si>
    <t>Net worth (book value)</t>
  </si>
  <si>
    <t>Total assets / liablilities</t>
  </si>
  <si>
    <t>Gross fixed assets</t>
  </si>
  <si>
    <t>PAT net of P&amp;E</t>
  </si>
  <si>
    <t>Trailing 4 qtrs. PAT net of P&amp;E</t>
  </si>
  <si>
    <t>BSE2</t>
  </si>
  <si>
    <t>NSE3</t>
  </si>
  <si>
    <t xml:space="preserve">    PBT as % of total income</t>
  </si>
  <si>
    <t xml:space="preserve">    PAT as % of total income</t>
  </si>
  <si>
    <t xml:space="preserve">    PBPT net of P&amp;E&amp;OI as % of total inc net of P&amp;E</t>
  </si>
  <si>
    <t xml:space="preserve">    PAT net of P&amp;E as % of total inc net of P&amp;E</t>
  </si>
  <si>
    <t xml:space="preserve">    PBPT net of P&amp;E&amp;OI as % of income from fin serv</t>
  </si>
  <si>
    <t xml:space="preserve">    PAT net of P&amp;E as % of net worth</t>
  </si>
  <si>
    <t xml:space="preserve">    PAT as % of net worth</t>
  </si>
  <si>
    <t xml:space="preserve">    PAT net of P&amp;E as % of capital employed</t>
  </si>
  <si>
    <t xml:space="preserve">    PAT as % of capital employed</t>
  </si>
  <si>
    <t xml:space="preserve">    PAT net of P&amp;E as % of tot assets excl reval</t>
  </si>
  <si>
    <t xml:space="preserve">    PAT as % of tot assets excl reval</t>
  </si>
  <si>
    <t xml:space="preserve">  Interest spread</t>
  </si>
  <si>
    <t xml:space="preserve">  Operating profit as a percentage to working funds</t>
  </si>
  <si>
    <t xml:space="preserve">  Profit/loss per employee</t>
  </si>
  <si>
    <t>Year</t>
  </si>
  <si>
    <t>Revenue</t>
  </si>
  <si>
    <t>PAT</t>
  </si>
  <si>
    <t>Total Assets</t>
  </si>
  <si>
    <t>Total Debt</t>
  </si>
  <si>
    <t>Rev Growth %</t>
  </si>
  <si>
    <t>PAT Growth %</t>
  </si>
  <si>
    <t>-</t>
  </si>
  <si>
    <t xml:space="preserve">Rev Abs Change </t>
  </si>
  <si>
    <t>PAT Abs Change</t>
  </si>
  <si>
    <t>Revenue shows steady growth, especially strong after 2022</t>
  </si>
  <si>
    <t>Indicates expansion in operations and improved business performance</t>
  </si>
  <si>
    <t>PAT shows overall growth but drops in 2023</t>
  </si>
  <si>
    <t>Indicates temporary profitability pressure, followed by strong recovery</t>
  </si>
  <si>
    <t>Total assets increase consistently over all years</t>
  </si>
  <si>
    <t>Shows continuous expansion and growth in company size</t>
  </si>
  <si>
    <t>Debt shows moderate fluctuation but no sharp increase</t>
  </si>
  <si>
    <t>Indicates controlled borrowing and stable financial risk</t>
  </si>
  <si>
    <t>Dividend</t>
  </si>
  <si>
    <t>Item</t>
  </si>
  <si>
    <t>Value</t>
  </si>
  <si>
    <t>Growth Rate (g)</t>
  </si>
  <si>
    <t>Next Dividend (D1)</t>
  </si>
  <si>
    <t>Cost of Equity (Ke)</t>
  </si>
  <si>
    <t>Intrinsic Value</t>
  </si>
  <si>
    <t>Ke Assume</t>
  </si>
  <si>
    <t>PV Factor</t>
  </si>
  <si>
    <t>Present Value</t>
  </si>
  <si>
    <t>Total PV of Dividend</t>
  </si>
  <si>
    <t>Present value of dividend stream</t>
  </si>
  <si>
    <t>Dividend Discount Model (DDM)</t>
  </si>
  <si>
    <t>Total Debt (D)</t>
  </si>
  <si>
    <t>Total Equity (E)</t>
  </si>
  <si>
    <t>Total Value (V = D+E)</t>
  </si>
  <si>
    <t>Cost of Debt (Kd)</t>
  </si>
  <si>
    <t>Tax Rate (T)</t>
  </si>
  <si>
    <t>WACC</t>
  </si>
  <si>
    <t>WACC = (E/V × Ke) + (D/V × Kd × (1 - T))</t>
  </si>
  <si>
    <t>Cash Flow</t>
  </si>
  <si>
    <t xml:space="preserve">Assume Project </t>
  </si>
  <si>
    <t>Initial Investment = ₹10,000 Cr</t>
  </si>
  <si>
    <t>Project Life = 5 years</t>
  </si>
  <si>
    <t>Growth = based on revenue trend</t>
  </si>
  <si>
    <t>Present _Value_Factor  1/ (1+r)^t]</t>
  </si>
  <si>
    <t>Discount rate ( WACC)</t>
  </si>
  <si>
    <t>PV</t>
  </si>
  <si>
    <t>NPV</t>
  </si>
  <si>
    <t>IRR</t>
  </si>
  <si>
    <t>Cumulative Cash Flow</t>
  </si>
  <si>
    <t>EBIT</t>
  </si>
  <si>
    <t>Interest</t>
  </si>
  <si>
    <t>DFL</t>
  </si>
  <si>
    <t>Interest Coverage</t>
  </si>
  <si>
    <t>% Chnage in EBIT</t>
  </si>
  <si>
    <t>% Change in Revenue</t>
  </si>
  <si>
    <t>DOL</t>
  </si>
  <si>
    <t>Negative DFL indicates EBIT is lower than interest expense in some years</t>
  </si>
  <si>
    <t>This reflects the nature of banking business where interest is a core cost</t>
  </si>
  <si>
    <t>Hence, interpretation should consider industry context</t>
  </si>
  <si>
    <t>Total Equity</t>
  </si>
  <si>
    <t>Total Capital</t>
  </si>
  <si>
    <t>Debt %</t>
  </si>
  <si>
    <t>Equity %</t>
  </si>
  <si>
    <t>The capital structure shows a gradual decrease in debt proportion from 64% to 51%</t>
  </si>
  <si>
    <t>Equity contribution has increased steadily, indicating strengthening financial position</t>
  </si>
  <si>
    <t>The company is reducing dependency on debt and improving stability</t>
  </si>
  <si>
    <t>As a bank, higher debt is normal, but the trend reflects improved capital adequacy</t>
  </si>
  <si>
    <t>ROE</t>
  </si>
  <si>
    <t>ROA</t>
  </si>
  <si>
    <t>Net Profit Margin</t>
  </si>
  <si>
    <t>Asset Turnover</t>
  </si>
  <si>
    <t>Shareholders Funds</t>
  </si>
  <si>
    <t>The company shows improving profitability with increasing ROE over the years</t>
  </si>
  <si>
    <t>ROA remains low but stable, which is typical for banking institutions</t>
  </si>
  <si>
    <t>Net profit margin has improved significantly, indicating better cost efficiency</t>
  </si>
  <si>
    <t>Asset turnover remains consistent, reflecting stable utilisation of assets</t>
  </si>
  <si>
    <t>Overall, Axis Bank demonstrates strong financial performance and improving efficiency</t>
  </si>
  <si>
    <t>Dividend Discount Model shows low intrinsic value due to low dividend payout</t>
  </si>
  <si>
    <t>Hence, DDM is less suitable for growth banks like Axis Bank</t>
  </si>
  <si>
    <t>Assume</t>
  </si>
  <si>
    <t>Cost of Debt is adjusted to 7% as banking interest includes deposits and may distort actual borrowing cost.</t>
  </si>
  <si>
    <t>The calculated WACC of 9% indicates a relatively low cost of capital.</t>
  </si>
  <si>
    <t>This suggests that the company can raise funds efficiently at a lower cost.</t>
  </si>
  <si>
    <t>Lower WACC improves investment attractiveness and supports growth opportunities.</t>
  </si>
  <si>
    <t>The Net Present Value (NPV) is positive, indicating that the project is expected to generate value.</t>
  </si>
  <si>
    <t>The Internal Rate of Return (IRR) of 20% is significantly higher than the WACC of 9%.</t>
  </si>
  <si>
    <t>This shows that the project's return exceeds the required return.</t>
  </si>
  <si>
    <t>Hence, the investment is financially viable and should be accepted.</t>
  </si>
  <si>
    <t>Dividend per Share</t>
  </si>
  <si>
    <t>EPS</t>
  </si>
  <si>
    <t>Payout Ratio</t>
  </si>
  <si>
    <t>Retention Ratio</t>
  </si>
  <si>
    <t>No dividend in 2020–2021 indicates capital conservation</t>
  </si>
  <si>
    <t>From 2022 onward, stable dividend of ₹1 introduced</t>
  </si>
  <si>
    <t>Payout ratio remains very low (2–7%)</t>
  </si>
  <si>
    <t>High retention (93–98%) shows growth focus</t>
  </si>
  <si>
    <t>Dividend policy is conservative but sustainable</t>
  </si>
  <si>
    <t>Dividend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</si>
</sst>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4" fontId="0" fillId="0" borderId="0" xfId="0" applyNumberFormat="1"/>
    <xf numFmtId="0" fontId="1" fillId="0" borderId="0" xfId="0" applyFont="1"/>
    <xf numFmtId="17" fontId="1" fillId="0" borderId="0" xfId="0" applyNumberFormat="1" applyFont="1"/>
    <xf numFmtId="15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0" fontId="0" fillId="0" borderId="0" xfId="1" applyNumberFormat="1" applyFon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9" fontId="0" fillId="0" borderId="0" xfId="1" applyFont="1"/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9" fontId="0" fillId="0" borderId="1" xfId="1" applyFont="1" applyBorder="1" applyAlignment="1">
      <alignment horizontal="center"/>
    </xf>
    <xf numFmtId="10" fontId="0" fillId="0" borderId="1" xfId="0" applyNumberFormat="1" applyBorder="1"/>
    <xf numFmtId="9" fontId="0" fillId="0" borderId="1" xfId="1" applyFont="1" applyBorder="1"/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75">
    <dxf>
      <numFmt numFmtId="13" formatCode="0%"/>
    </dxf>
    <dxf>
      <numFmt numFmtId="13" formatCode="0%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</font>
      <numFmt numFmtId="22" formatCode="mmm/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</font>
      <numFmt numFmtId="22" formatCode="mmm/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 Trend 2020-25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Trend_Analysis!$B$1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Trend_Analysis!$A$2:$A$7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Trend_Analysis!$B$2:$B$7</c:f>
              <c:numCache>
                <c:formatCode>#,##0.00</c:formatCode>
                <c:ptCount val="6"/>
                <c:pt idx="0">
                  <c:v>78211.38</c:v>
                </c:pt>
                <c:pt idx="1">
                  <c:v>78217.13</c:v>
                </c:pt>
                <c:pt idx="2">
                  <c:v>85030.89</c:v>
                </c:pt>
                <c:pt idx="3">
                  <c:v>105788.58</c:v>
                </c:pt>
                <c:pt idx="4">
                  <c:v>134866.89000000001</c:v>
                </c:pt>
                <c:pt idx="5">
                  <c:v>152144.97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E-42A7-ADAF-7F0496BD9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352079"/>
        <c:axId val="919364079"/>
      </c:lineChart>
      <c:catAx>
        <c:axId val="919352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64079"/>
        <c:crosses val="autoZero"/>
        <c:auto val="1"/>
        <c:lblAlgn val="ctr"/>
        <c:lblOffset val="100"/>
        <c:noMultiLvlLbl val="0"/>
      </c:catAx>
      <c:valAx>
        <c:axId val="919364079"/>
        <c:scaling>
          <c:orientation val="minMax"/>
        </c:scaling>
        <c:delete val="0"/>
        <c:axPos val="l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5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 Trend 2020-25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Trend_Analysis!$E$1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Trend_Analysis!$A$2:$A$7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Trend_Analysis!$E$2:$E$7</c:f>
              <c:numCache>
                <c:formatCode>#,##0.00</c:formatCode>
                <c:ptCount val="6"/>
                <c:pt idx="0">
                  <c:v>1627.22</c:v>
                </c:pt>
                <c:pt idx="1">
                  <c:v>6588.5</c:v>
                </c:pt>
                <c:pt idx="2">
                  <c:v>13025.48</c:v>
                </c:pt>
                <c:pt idx="3">
                  <c:v>9579.68</c:v>
                </c:pt>
                <c:pt idx="4">
                  <c:v>24861.43</c:v>
                </c:pt>
                <c:pt idx="5">
                  <c:v>26373.48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2F-4043-8BD5-A16F44A31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627807"/>
        <c:axId val="1184653727"/>
      </c:lineChart>
      <c:catAx>
        <c:axId val="11846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53727"/>
        <c:crosses val="autoZero"/>
        <c:auto val="1"/>
        <c:lblAlgn val="ctr"/>
        <c:lblOffset val="100"/>
        <c:noMultiLvlLbl val="0"/>
      </c:catAx>
      <c:valAx>
        <c:axId val="1184653727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2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Assets Trend 2020-25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Trend_Analysis!$H$1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Trend_Analysis!$A$2:$A$7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Trend_Analysis!$H$2:$H$7</c:f>
              <c:numCache>
                <c:formatCode>#,##0.00</c:formatCode>
                <c:ptCount val="6"/>
                <c:pt idx="0">
                  <c:v>915222.36</c:v>
                </c:pt>
                <c:pt idx="1">
                  <c:v>996160.46</c:v>
                </c:pt>
                <c:pt idx="2">
                  <c:v>1175625.24</c:v>
                </c:pt>
                <c:pt idx="3">
                  <c:v>1317743.8500000001</c:v>
                </c:pt>
                <c:pt idx="4">
                  <c:v>1477892.9</c:v>
                </c:pt>
                <c:pt idx="5">
                  <c:v>1611217.9199999999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9-4140-ACF6-214DC3B5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607647"/>
        <c:axId val="11846018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Trend_Analysis!$A$1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Trend_Analysis!$A$2:$A$7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Trend_Analysis!$A$2:$A$7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AB9-4140-ACF6-214DC3B500DE}"/>
                  </c:ext>
                </c:extLst>
              </c15:ser>
            </c15:filteredLineSeries>
          </c:ext>
        </c:extLst>
      </c:lineChart>
      <c:catAx>
        <c:axId val="118460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01887"/>
        <c:crosses val="autoZero"/>
        <c:auto val="1"/>
        <c:lblAlgn val="ctr"/>
        <c:lblOffset val="100"/>
        <c:noMultiLvlLbl val="0"/>
      </c:catAx>
      <c:valAx>
        <c:axId val="1184601887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0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Trend 2020-25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48729554092175"/>
          <c:y val="0.1876507461653433"/>
          <c:w val="0.83424915408743028"/>
          <c:h val="0.73561831049122051"/>
        </c:manualLayout>
      </c:layout>
      <c:lineChart>
        <c:grouping val="standard"/>
        <c:varyColors val="0"/>
        <c:ser>
          <c:idx val="1"/>
          <c:order val="1"/>
          <c:tx>
            <c:strRef>
              <c:f>Trend_Analysis!$I$1</c:f>
              <c:strCache>
                <c:ptCount val="1"/>
                <c:pt idx="0">
                  <c:v>Total Debt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Trend_Analysis!$A$2:$A$7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Trend_Analysis!$I$2:$I$7</c:f>
              <c:numCache>
                <c:formatCode>#,##0.00</c:formatCode>
                <c:ptCount val="6"/>
                <c:pt idx="0">
                  <c:v>147954.13</c:v>
                </c:pt>
                <c:pt idx="1">
                  <c:v>142873.16</c:v>
                </c:pt>
                <c:pt idx="2">
                  <c:v>185133.86</c:v>
                </c:pt>
                <c:pt idx="3">
                  <c:v>186300.05</c:v>
                </c:pt>
                <c:pt idx="4">
                  <c:v>196811.75</c:v>
                </c:pt>
                <c:pt idx="5">
                  <c:v>184146.51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14-4A31-84E8-39C32EA39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604287"/>
        <c:axId val="1184607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Trend_Analysis!$A$1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Trend_Analysis!$A$2:$A$7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Trend_Analysis!$A$2:$A$7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E14-4A31-84E8-39C32EA396F0}"/>
                  </c:ext>
                </c:extLst>
              </c15:ser>
            </c15:filteredLineSeries>
          </c:ext>
        </c:extLst>
      </c:lineChart>
      <c:catAx>
        <c:axId val="11846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07167"/>
        <c:crosses val="autoZero"/>
        <c:auto val="1"/>
        <c:lblAlgn val="ctr"/>
        <c:lblOffset val="100"/>
        <c:noMultiLvlLbl val="0"/>
      </c:catAx>
      <c:valAx>
        <c:axId val="1184607167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Growth %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Trend_Analysis!$A$3:$A$7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Trend_Analysis!$D$3:$D$7</c:f>
              <c:numCache>
                <c:formatCode>0.00%</c:formatCode>
                <c:ptCount val="5"/>
                <c:pt idx="0">
                  <c:v>7.3518713005703263E-5</c:v>
                </c:pt>
                <c:pt idx="1">
                  <c:v>8.7113398305460638E-2</c:v>
                </c:pt>
                <c:pt idx="2">
                  <c:v>0.24411940178445743</c:v>
                </c:pt>
                <c:pt idx="3">
                  <c:v>0.27487191906725672</c:v>
                </c:pt>
                <c:pt idx="4">
                  <c:v>0.12811209630473414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7-4BA4-AC2E-57F4B165E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718239"/>
        <c:axId val="486722559"/>
      </c:lineChart>
      <c:catAx>
        <c:axId val="48671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2559"/>
        <c:crosses val="autoZero"/>
        <c:auto val="1"/>
        <c:lblAlgn val="ctr"/>
        <c:lblOffset val="100"/>
        <c:noMultiLvlLbl val="0"/>
      </c:catAx>
      <c:valAx>
        <c:axId val="4867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1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Capital</a:t>
            </a:r>
            <a:r>
              <a:rPr lang="en-IN" baseline="0"/>
              <a:t> Structure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Capital_Structure_Analysis!$E$1</c:f>
              <c:strCache>
                <c:ptCount val="1"/>
                <c:pt idx="0">
                  <c:v>Debt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Capital_Structure_Analysis!$A$2:$A$7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Capital_Structure_Analysis!$E$2:$E$7</c:f>
              <c:numCache>
                <c:formatCode>0%</c:formatCode>
                <c:ptCount val="6"/>
                <c:pt idx="0">
                  <c:v>0.6352635402783412</c:v>
                </c:pt>
                <c:pt idx="1">
                  <c:v>0.58440526125716064</c:v>
                </c:pt>
                <c:pt idx="2">
                  <c:v>0.61648011148024329</c:v>
                </c:pt>
                <c:pt idx="3">
                  <c:v>0.59765822620347264</c:v>
                </c:pt>
                <c:pt idx="4">
                  <c:v>0.56575693802108951</c:v>
                </c:pt>
                <c:pt idx="5">
                  <c:v>0.50607548052042417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D-416F-A35B-C4F5A78A5F72}"/>
            </c:ext>
          </c:extLst>
        </c:ser>
        <c:ser>
          <c:idx val="1"/>
          <c:order val="1"/>
          <c:tx>
            <c:strRef>
              <c:f>Capital_Structure_Analysis!$F$1</c:f>
              <c:strCache>
                <c:ptCount val="1"/>
                <c:pt idx="0">
                  <c:v>Equity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Capital_Structure_Analysis!$A$2:$A$7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Capital_Structure_Analysis!$F$2:$F$7</c:f>
              <c:numCache>
                <c:formatCode>0%</c:formatCode>
                <c:ptCount val="6"/>
                <c:pt idx="0">
                  <c:v>0.36473645972165886</c:v>
                </c:pt>
                <c:pt idx="1">
                  <c:v>0.41559473874283942</c:v>
                </c:pt>
                <c:pt idx="2">
                  <c:v>0.38351988851975666</c:v>
                </c:pt>
                <c:pt idx="3">
                  <c:v>0.40234177379652747</c:v>
                </c:pt>
                <c:pt idx="4">
                  <c:v>0.43424306197891055</c:v>
                </c:pt>
                <c:pt idx="5">
                  <c:v>0.49392451947957577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D-416F-A35B-C4F5A78A5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8107072"/>
        <c:axId val="1288107552"/>
      </c:barChart>
      <c:catAx>
        <c:axId val="128810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07552"/>
        <c:crosses val="autoZero"/>
        <c:auto val="1"/>
        <c:lblAlgn val="ctr"/>
        <c:lblOffset val="100"/>
        <c:noMultiLvlLbl val="0"/>
      </c:catAx>
      <c:valAx>
        <c:axId val="12881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0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68685</xdr:colOff>
      <xdr:row>9</xdr:row>
      <xdr:rowOff>38690</xdr:rowOff>
    </xdr:from>
    <xdr:to>
      <xdr:col>6</xdr:col>
      <xdr:colOff>370122</xdr:colOff>
      <xdr:row>24</xdr:row>
      <xdr:rowOff>38690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6363E-9B21-15F5-2273-8ED479072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99059</xdr:colOff>
      <xdr:row>31</xdr:row>
      <xdr:rowOff>10160</xdr:rowOff>
    </xdr:from>
    <xdr:to>
      <xdr:col>6</xdr:col>
      <xdr:colOff>403859</xdr:colOff>
      <xdr:row>46</xdr:row>
      <xdr:rowOff>10160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46BC30-7639-7CE9-040D-F963FC97F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16597</xdr:colOff>
      <xdr:row>9</xdr:row>
      <xdr:rowOff>24819</xdr:rowOff>
    </xdr:from>
    <xdr:to>
      <xdr:col>12</xdr:col>
      <xdr:colOff>472104</xdr:colOff>
      <xdr:row>24</xdr:row>
      <xdr:rowOff>24819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94617B-1A24-0CAC-5A4B-5C7C7424B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23827</xdr:colOff>
      <xdr:row>27</xdr:row>
      <xdr:rowOff>0</xdr:rowOff>
    </xdr:from>
    <xdr:to>
      <xdr:col>12</xdr:col>
      <xdr:colOff>479335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B21543-18D1-F151-FFA8-895ED821B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320609</xdr:colOff>
      <xdr:row>52</xdr:row>
      <xdr:rowOff>92437</xdr:rowOff>
    </xdr:from>
    <xdr:to>
      <xdr:col>9</xdr:col>
      <xdr:colOff>46004</xdr:colOff>
      <xdr:row>67</xdr:row>
      <xdr:rowOff>58254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35920B-8AE1-228A-B6B2-0F19D7776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220980</xdr:rowOff>
    </xdr:from>
    <xdr:to>
      <xdr:col>14</xdr:col>
      <xdr:colOff>38100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A6826-FF62-56F7-4BDD-8A7ED4BAD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0</xdr:row>
      <xdr:rowOff>76200</xdr:rowOff>
    </xdr:from>
    <xdr:to>
      <xdr:col>17</xdr:col>
      <xdr:colOff>510540</xdr:colOff>
      <xdr:row>36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0FD77C-3E14-5B44-59B3-4C2227BD91FC}"/>
            </a:ext>
          </a:extLst>
        </xdr:cNvPr>
        <xdr:cNvSpPr txBox="1"/>
      </xdr:nvSpPr>
      <xdr:spPr>
        <a:xfrm>
          <a:off x="1005840" y="76200"/>
          <a:ext cx="9867900" cy="6659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Overall Performance</a:t>
          </a:r>
        </a:p>
        <a:p>
          <a:r>
            <a:rPr lang="en-IN"/>
            <a:t>Axis Bank shows </a:t>
          </a:r>
          <a:r>
            <a:rPr lang="en-IN" b="1"/>
            <a:t>strong revenue and asset growth</a:t>
          </a:r>
          <a:r>
            <a:rPr lang="en-IN"/>
            <a:t> </a:t>
          </a:r>
        </a:p>
        <a:p>
          <a:r>
            <a:rPr lang="en-IN"/>
            <a:t>Growth is especially higher after 2022 </a:t>
          </a:r>
        </a:p>
        <a:p>
          <a:r>
            <a:rPr lang="en-IN"/>
            <a:t>Indicates expansion and improving operations </a:t>
          </a:r>
          <a:br>
            <a:rPr lang="en-IN"/>
          </a:br>
          <a:endParaRPr lang="en-IN"/>
        </a:p>
        <a:p>
          <a:r>
            <a:rPr lang="en-IN" b="1"/>
            <a:t>Profitability Analysis</a:t>
          </a:r>
        </a:p>
        <a:p>
          <a:r>
            <a:rPr lang="en-IN"/>
            <a:t>PAT shows overall upward trend with slight dip in 2023 </a:t>
          </a:r>
        </a:p>
        <a:p>
          <a:r>
            <a:rPr lang="en-IN"/>
            <a:t>ROE and Net Profit Margin improving over time </a:t>
          </a:r>
        </a:p>
        <a:p>
          <a:r>
            <a:rPr lang="en-IN"/>
            <a:t>Shows better efficiency and profitability </a:t>
          </a:r>
        </a:p>
        <a:p>
          <a:endParaRPr lang="en-IN"/>
        </a:p>
        <a:p>
          <a:r>
            <a:rPr lang="en-IN" b="1"/>
            <a:t>Risk &amp; Leverage</a:t>
          </a:r>
        </a:p>
        <a:p>
          <a:r>
            <a:rPr lang="en-IN"/>
            <a:t>Debt levels are high (normal for banks) </a:t>
          </a:r>
        </a:p>
        <a:p>
          <a:r>
            <a:rPr lang="en-IN"/>
            <a:t>Debt % decreasing gradually → positive sign </a:t>
          </a:r>
        </a:p>
        <a:p>
          <a:r>
            <a:rPr lang="en-IN"/>
            <a:t>Interest coverage is low → typical for banking sector </a:t>
          </a:r>
        </a:p>
        <a:p>
          <a:r>
            <a:rPr lang="en-IN"/>
            <a:t>Overall financial risk is </a:t>
          </a:r>
          <a:r>
            <a:rPr lang="en-IN" b="1"/>
            <a:t>controlled</a:t>
          </a:r>
          <a:r>
            <a:rPr lang="en-IN"/>
            <a:t> </a:t>
          </a:r>
        </a:p>
        <a:p>
          <a:endParaRPr lang="en-IN"/>
        </a:p>
        <a:p>
          <a:r>
            <a:rPr lang="en-IN" b="1"/>
            <a:t>Capital Structure</a:t>
          </a:r>
        </a:p>
        <a:p>
          <a:r>
            <a:rPr lang="en-IN"/>
            <a:t>Debt share reduced from </a:t>
          </a:r>
          <a:r>
            <a:rPr lang="en-IN" b="1"/>
            <a:t>64% to 51%</a:t>
          </a:r>
          <a:r>
            <a:rPr lang="en-IN"/>
            <a:t> </a:t>
          </a:r>
        </a:p>
        <a:p>
          <a:r>
            <a:rPr lang="en-IN"/>
            <a:t>Equity share increased steadily </a:t>
          </a:r>
        </a:p>
        <a:p>
          <a:r>
            <a:rPr lang="en-IN"/>
            <a:t>Indicates stronger financial position and stability </a:t>
          </a:r>
        </a:p>
        <a:p>
          <a:endParaRPr lang="en-IN"/>
        </a:p>
        <a:p>
          <a:r>
            <a:rPr lang="en-IN" b="1"/>
            <a:t>Dividend Policy</a:t>
          </a:r>
        </a:p>
        <a:p>
          <a:r>
            <a:rPr lang="en-IN"/>
            <a:t>Dividend payout is very low despite high earnings </a:t>
          </a:r>
        </a:p>
        <a:p>
          <a:r>
            <a:rPr lang="en-IN"/>
            <a:t>High dividend cover shows strong capacity </a:t>
          </a:r>
        </a:p>
        <a:p>
          <a:r>
            <a:rPr lang="en-IN"/>
            <a:t>Company follows </a:t>
          </a:r>
          <a:r>
            <a:rPr lang="en-IN" b="1"/>
            <a:t>growth-oriented policy</a:t>
          </a:r>
          <a:r>
            <a:rPr lang="en-IN"/>
            <a:t> </a:t>
          </a:r>
          <a:br>
            <a:rPr lang="en-IN"/>
          </a:br>
          <a:endParaRPr lang="en-IN"/>
        </a:p>
        <a:p>
          <a:r>
            <a:rPr lang="en-IN" b="1"/>
            <a:t>Investment Decision (Capital Budgeting)</a:t>
          </a:r>
        </a:p>
        <a:p>
          <a:r>
            <a:rPr lang="en-IN"/>
            <a:t>NPV = </a:t>
          </a:r>
          <a:r>
            <a:rPr lang="en-IN" b="1"/>
            <a:t>₹3343 (Positive)</a:t>
          </a:r>
          <a:r>
            <a:rPr lang="en-IN"/>
            <a:t> ✅ </a:t>
          </a:r>
        </a:p>
        <a:p>
          <a:r>
            <a:rPr lang="en-IN"/>
            <a:t>IRR = </a:t>
          </a:r>
          <a:r>
            <a:rPr lang="en-IN" b="1"/>
            <a:t>20% &gt; WACC (9%)</a:t>
          </a:r>
          <a:r>
            <a:rPr lang="en-IN"/>
            <a:t> ✅ </a:t>
          </a:r>
        </a:p>
        <a:p>
          <a:r>
            <a:rPr lang="en-IN"/>
            <a:t>👉 Project is </a:t>
          </a:r>
          <a:r>
            <a:rPr lang="en-IN" b="1"/>
            <a:t>financially viable and profitable</a:t>
          </a:r>
          <a:endParaRPr lang="en-IN"/>
        </a:p>
        <a:p>
          <a:endParaRPr lang="en-IN"/>
        </a:p>
        <a:p>
          <a:r>
            <a:rPr lang="en-IN" b="1"/>
            <a:t>Final Recommendation</a:t>
          </a:r>
        </a:p>
        <a:p>
          <a:r>
            <a:rPr lang="en-IN"/>
            <a:t>Axis Bank shows: </a:t>
          </a:r>
        </a:p>
        <a:p>
          <a:pPr lvl="1"/>
          <a:r>
            <a:rPr lang="en-IN"/>
            <a:t>Strong growth 📈 </a:t>
          </a:r>
        </a:p>
        <a:p>
          <a:pPr lvl="1"/>
          <a:r>
            <a:rPr lang="en-IN"/>
            <a:t>Improving profitability 📊 </a:t>
          </a:r>
        </a:p>
        <a:p>
          <a:pPr lvl="1"/>
          <a:r>
            <a:rPr lang="en-IN"/>
            <a:t>Controlled risk ⚖️ </a:t>
          </a:r>
        </a:p>
        <a:p>
          <a:r>
            <a:rPr lang="en-IN"/>
            <a:t>👉 Suitable for </a:t>
          </a:r>
          <a:r>
            <a:rPr lang="en-IN" b="1"/>
            <a:t>long-term investment and growth-focused investors</a:t>
          </a:r>
          <a:endParaRPr lang="en-IN"/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mol Deore" id="{7D5CF79C-228A-4F47-A62A-6727A7378209}" userId="6917b4bc18e573ec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238F1-547B-4A3D-BEFA-9AFA5E887FFF}" name="Table1" displayName="Table1" ref="A1:G22" totalsRowShown="0" headerRowDxfId="74">
  <autoFilter ref="A1:G22" xr:uid="{F35238F1-547B-4A3D-BEFA-9AFA5E887FFF}"/>
  <tableColumns count="7">
    <tableColumn id="1" xr3:uid="{1BD17C1E-95EF-4DB0-8B94-B881215684F2}" name="Particulars"/>
    <tableColumn id="2" xr3:uid="{73CD9C0E-029D-4CC8-A585-DE71AE68C2FA}" name="Mar-20"/>
    <tableColumn id="3" xr3:uid="{FA35A44E-1D83-4810-BBF6-03A037BAC23C}" name="Mar-21"/>
    <tableColumn id="4" xr3:uid="{EE8A81D3-18B9-4EB5-BA81-3620FA3D1F69}" name="Mar-22"/>
    <tableColumn id="5" xr3:uid="{883C3607-14A3-4CBA-8BE8-A533AC740C98}" name="Mar-23"/>
    <tableColumn id="6" xr3:uid="{8DD87A9F-6E1A-4FE4-BD16-26A07054F31F}" name="Mar-24"/>
    <tableColumn id="7" xr3:uid="{AFADE94D-1D7E-4E89-A92E-C4DA0A9F5327}" name="Mar-2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AF6D5-DE01-4347-973B-C30EFCFD3F34}" name="Table2" displayName="Table2" ref="A25:G56" totalsRowShown="0" headerRowDxfId="73">
  <autoFilter ref="A25:G56" xr:uid="{90BAF6D5-DE01-4347-973B-C30EFCFD3F34}"/>
  <tableColumns count="7">
    <tableColumn id="1" xr3:uid="{06614E41-0AFE-43B7-BAEF-2653AF60027E}" name="Particulars   "/>
    <tableColumn id="2" xr3:uid="{E22E55F2-7C73-49A7-B129-9A35A5A30DE8}" name="Mar-20"/>
    <tableColumn id="3" xr3:uid="{64B16016-9E98-4FF8-8FCB-08DA568D1C32}" name="Mar-21"/>
    <tableColumn id="4" xr3:uid="{3BF7EF95-9A96-48F5-B772-12B89B6C4688}" name="Mar-22"/>
    <tableColumn id="5" xr3:uid="{34BFED6A-D9F4-4E63-915C-6BE92FCD133F}" name="Mar-23"/>
    <tableColumn id="6" xr3:uid="{B2E679DC-CE64-41B5-9F72-E06015E7D57F}" name="Mar-24"/>
    <tableColumn id="7" xr3:uid="{39CED745-5710-4BBD-A8D6-987140A8FCCB}" name="Mar-2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06C575-B662-4963-B163-9B59F8CB79B1}" name="Table3" displayName="Table3" ref="A59:G84" totalsRowShown="0" headerRowDxfId="72">
  <autoFilter ref="A59:G84" xr:uid="{DA06C575-B662-4963-B163-9B59F8CB79B1}"/>
  <tableColumns count="7">
    <tableColumn id="1" xr3:uid="{88B9B443-AD8F-4C49-A39A-7712EA8F3761}" name="Particulars"/>
    <tableColumn id="2" xr3:uid="{8CE53644-6785-48E6-9851-00EDE8D8D167}" name="Mar-20"/>
    <tableColumn id="3" xr3:uid="{574953B7-C240-4A45-BA91-0562A0AF69E5}" name="Mar-21"/>
    <tableColumn id="4" xr3:uid="{CBB7388B-8413-4DBF-8428-2E9A4AC1CB3E}" name="Mar-22"/>
    <tableColumn id="5" xr3:uid="{FC574965-619B-488E-A963-CADB70AE6647}" name="Mar-23"/>
    <tableColumn id="6" xr3:uid="{66E1DF48-3DD7-4E78-8DC3-2EF669828F26}" name="Mar-24"/>
    <tableColumn id="7" xr3:uid="{BD720722-6222-4014-9848-3567323A06F7}" name="Mar-2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A38245-EE97-4426-8923-75A056FD5985}" name="Table4" displayName="Table4" ref="A1:G43" totalsRowShown="0" headerRowDxfId="71">
  <autoFilter ref="A1:G43" xr:uid="{52A38245-EE97-4426-8923-75A056FD5985}"/>
  <tableColumns count="7">
    <tableColumn id="1" xr3:uid="{5634DD07-D5D6-4C3D-AE81-68A9585971C8}" name="Particulars"/>
    <tableColumn id="2" xr3:uid="{A3CDD3DD-C901-463E-AFCA-93A26472899B}" name="Mar-20" dataDxfId="70"/>
    <tableColumn id="3" xr3:uid="{F6EA67ED-3548-4823-98F9-ED7C10123983}" name="Mar-21" dataDxfId="69"/>
    <tableColumn id="4" xr3:uid="{90132E45-404A-4663-8C47-629008631AAB}" name="Mar-22" dataDxfId="68"/>
    <tableColumn id="5" xr3:uid="{73BFA6FC-B0FA-494E-9A8C-D1E6923B55EE}" name="Mar-23" dataDxfId="67"/>
    <tableColumn id="6" xr3:uid="{9F4EE9A0-D399-4DEE-9F11-88532F9C83BE}" name="Mar-24" dataDxfId="66"/>
    <tableColumn id="7" xr3:uid="{7AA4286D-D602-4584-970D-DF8D0B377EE2}" name="Mar-25" dataDxfId="65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675198-BE58-4983-8DC1-1235856B9520}" name="Table5" displayName="Table5" ref="A46:G74" totalsRowShown="0" headerRowDxfId="64">
  <autoFilter ref="A46:G74" xr:uid="{1A675198-BE58-4983-8DC1-1235856B9520}"/>
  <tableColumns count="7">
    <tableColumn id="1" xr3:uid="{B811420F-752F-46B1-A34F-5AE88420782A}" name=" Particulars"/>
    <tableColumn id="2" xr3:uid="{1E61D933-9F16-408D-9F4A-4802690752B5}" name="Mar-20" dataDxfId="63"/>
    <tableColumn id="3" xr3:uid="{FB3EB205-15EC-4A53-9599-F0E76A4D5F70}" name="Mar-21" dataDxfId="62"/>
    <tableColumn id="4" xr3:uid="{354FDA6A-E737-4D5A-A65E-FEE2BF7A3628}" name="Mar-22" dataDxfId="61"/>
    <tableColumn id="5" xr3:uid="{1664D9B5-C3D7-449F-A452-38CAA27180CE}" name="Mar-23" dataDxfId="60"/>
    <tableColumn id="6" xr3:uid="{9A3DFB66-EA15-4E2A-B66D-1BD89D536A6C}" name="Mar-24" dataDxfId="59"/>
    <tableColumn id="7" xr3:uid="{D7FB5FD0-8C5A-4C58-8B95-612A1F664C53}" name="Mar-25" dataDxfId="58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A269C8-4930-47ED-864A-EA663AEBAA40}" name="Table6" displayName="Table6" ref="A77:G103" totalsRowShown="0" headerRowDxfId="57">
  <autoFilter ref="A77:G103" xr:uid="{85A269C8-4930-47ED-864A-EA663AEBAA40}"/>
  <tableColumns count="7">
    <tableColumn id="1" xr3:uid="{E2C6A4C4-F853-4A9F-960B-A290D4A9A30D}" name="Particulars"/>
    <tableColumn id="2" xr3:uid="{299896E2-FE83-41E6-A4E4-17CDFC745E15}" name="Mar-20" dataDxfId="56"/>
    <tableColumn id="3" xr3:uid="{C0C35494-82F2-4FC6-B3AA-555352C1336E}" name="Mar-21" dataDxfId="55"/>
    <tableColumn id="4" xr3:uid="{F7423B09-0818-470B-B516-20D43265C27F}" name="Mar-22" dataDxfId="54"/>
    <tableColumn id="5" xr3:uid="{947EC673-DFBA-41DA-B59E-544D2EBFA6DE}" name="Mar-23" dataDxfId="53"/>
    <tableColumn id="6" xr3:uid="{76BB986B-51E0-42A5-A19C-2FFCDB18EE7C}" name="Mar-24" dataDxfId="52"/>
    <tableColumn id="7" xr3:uid="{2B9FEFFB-66CA-4778-AA18-44BF7BD8B6C2}" name="Mar-25" dataDxfId="51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2F582E-7C22-4C46-9C17-A44508C21DB3}" name="Table7" displayName="Table7" ref="A106:G129" totalsRowShown="0" headerRowDxfId="50">
  <autoFilter ref="A106:G129" xr:uid="{312F582E-7C22-4C46-9C17-A44508C21DB3}"/>
  <tableColumns count="7">
    <tableColumn id="1" xr3:uid="{7BEC8E88-0C89-45FC-90B0-4B79B49D7375}" name="Particulars"/>
    <tableColumn id="2" xr3:uid="{1612BD7D-D88B-49BE-B462-B1353FAF3382}" name="Mar-20" dataDxfId="49"/>
    <tableColumn id="3" xr3:uid="{2B9797F0-2B4A-4A31-A6E6-ADFBAC468647}" name="Mar-21" dataDxfId="48"/>
    <tableColumn id="4" xr3:uid="{01DFABFC-926B-414B-9B43-35D7AF08F586}" name="Mar-22" dataDxfId="47"/>
    <tableColumn id="5" xr3:uid="{6FFDD2C5-D7D7-444F-9701-97089695DB2F}" name="Mar-23" dataDxfId="46"/>
    <tableColumn id="6" xr3:uid="{27E5D9A8-4D8A-41D5-9857-5A1426098E34}" name="Mar-24" dataDxfId="45"/>
    <tableColumn id="7" xr3:uid="{4C00ECC4-D589-4CE8-B706-FC42CDA1A667}" name="Mar-25" dataDxfId="44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98BEAE-741E-4D8D-BC52-F482D4B1AE9D}" name="Table8" displayName="Table8" ref="A1:I26" totalsRowShown="0" headerRowDxfId="43">
  <autoFilter ref="A1:I26" xr:uid="{7C98BEAE-741E-4D8D-BC52-F482D4B1AE9D}"/>
  <tableColumns count="9">
    <tableColumn id="1" xr3:uid="{42ADBA97-9CE6-494D-A0B6-5D685AB2F681}" name="Announcement date" dataDxfId="42"/>
    <tableColumn id="2" xr3:uid="{C9EADFE6-CC17-4121-95EE-AE4C400D5F56}" name="Dividend rate"/>
    <tableColumn id="3" xr3:uid="{BB016EC8-FE38-4669-A84E-4A6065DED696}" name="Dividend per share"/>
    <tableColumn id="4" xr3:uid="{40B5C656-CFEB-4EC8-9275-DD5C28B22C78}" name="Dividend type"/>
    <tableColumn id="5" xr3:uid="{BD37B4D2-2271-47AE-A5E3-FDB95F0950C0}" name="Record date" dataDxfId="41"/>
    <tableColumn id="6" xr3:uid="{093FB6C8-C592-4709-B84A-6722C5B17E5F}" name="BSE" dataDxfId="40"/>
    <tableColumn id="7" xr3:uid="{5F81BC69-66BF-42BE-9261-92C8E835A8C5}" name="BSE2"/>
    <tableColumn id="8" xr3:uid="{EB2C2A06-85C3-48EF-94CA-ACD0E8205D30}" name="NSE" dataDxfId="39"/>
    <tableColumn id="9" xr3:uid="{93BDE959-F7C1-48BF-9F34-6234B4DBCD86}" name="NSE3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CED045-55AB-4C14-AA71-29441F1229D4}" name="Table10" displayName="Table10" ref="A1:G6" totalsRowShown="0" headerRowDxfId="38">
  <autoFilter ref="A1:G6" xr:uid="{55CED045-55AB-4C14-AA71-29441F1229D4}"/>
  <tableColumns count="7">
    <tableColumn id="1" xr3:uid="{8E56636F-9C60-402E-A449-CF929E618DCD}" name="Particulars"/>
    <tableColumn id="2" xr3:uid="{2497F992-185A-4679-B7BC-030B703CE912}" name="Mar-20"/>
    <tableColumn id="3" xr3:uid="{738FE978-1A0F-4A4D-AF98-EA06065493C8}" name="Mar-21"/>
    <tableColumn id="4" xr3:uid="{4A67903A-95EE-4CC1-A0D8-285A378E8608}" name="Mar-22"/>
    <tableColumn id="5" xr3:uid="{6448F213-37E1-431D-BA1D-E23185998723}" name="Mar-23"/>
    <tableColumn id="6" xr3:uid="{2C123F23-7D09-4B70-A65A-4E94EE34CF3D}" name="Mar-24"/>
    <tableColumn id="7" xr3:uid="{68415B6E-27FB-4112-9815-CD3C54EFAEB3}" name="Mar-25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12DB54-4AA4-41DD-83DE-900D2C757D18}" name="Table11" displayName="Table11" ref="A9:G37" totalsRowShown="0" headerRowDxfId="37">
  <autoFilter ref="A9:G37" xr:uid="{3D12DB54-4AA4-41DD-83DE-900D2C757D18}"/>
  <tableColumns count="7">
    <tableColumn id="1" xr3:uid="{51875643-04A0-4CBE-8F25-C8853D7FA54A}" name="Particulars"/>
    <tableColumn id="2" xr3:uid="{ADE3E618-9619-4120-A133-1DACA0336703}" name="Mar-20" dataDxfId="36"/>
    <tableColumn id="3" xr3:uid="{34F9C2D4-98B1-4687-AD96-9E295935FDD7}" name="Mar-21" dataDxfId="35"/>
    <tableColumn id="4" xr3:uid="{C626C80C-5DCF-4F86-92FA-E8AEA87BEC73}" name="Mar-22" dataDxfId="34"/>
    <tableColumn id="5" xr3:uid="{A55D6C56-BF1E-4057-BFB7-0E6F84E7F461}" name="Mar-23" dataDxfId="33"/>
    <tableColumn id="6" xr3:uid="{C3C7AAE1-3522-4C4F-AFC0-74758E31043F}" name="Mar-24" dataDxfId="32"/>
    <tableColumn id="7" xr3:uid="{1FC824CD-8EE7-483D-83BA-E4E9464BE9FE}" name="Mar-25" dataDxfId="31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51BDA6-5AAB-4751-A266-C96D7B3AB2FC}" name="Table12" displayName="Table12" ref="A40:G54" totalsRowShown="0" headerRowDxfId="30">
  <autoFilter ref="A40:G54" xr:uid="{1B51BDA6-5AAB-4751-A266-C96D7B3AB2FC}"/>
  <tableColumns count="7">
    <tableColumn id="1" xr3:uid="{9720BFDD-463E-4983-8BA8-5E9835AA5FF1}" name="Particulars"/>
    <tableColumn id="2" xr3:uid="{1DB544B5-810E-4A2B-9436-1BEEBB6995A2}" name="Mar-20"/>
    <tableColumn id="3" xr3:uid="{258AEF2B-A954-4A24-A171-B151D8070346}" name="Mar-21"/>
    <tableColumn id="4" xr3:uid="{10BB5125-B377-41BB-9314-15F5EEE27467}" name="Mar-22"/>
    <tableColumn id="5" xr3:uid="{B3BEED70-8E32-4A39-997C-2FC6C172070F}" name="Mar-23"/>
    <tableColumn id="6" xr3:uid="{635ACC04-C736-43F4-BF3A-EE0AACD0979A}" name="Mar-24"/>
    <tableColumn id="7" xr3:uid="{8372EC46-C7E4-4B9B-BAE2-1C809E9FAC32}" name="Mar-25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9362D4-5CA3-472E-BC0E-B891135EDBE8}" name="Table9" displayName="Table9" ref="A1:I7" totalsRowShown="0">
  <autoFilter ref="A1:I7" xr:uid="{CF9362D4-5CA3-472E-BC0E-B891135EDBE8}"/>
  <tableColumns count="9">
    <tableColumn id="1" xr3:uid="{9E96CEC5-5151-4BD4-8483-82E0EF815E60}" name="Year"/>
    <tableColumn id="2" xr3:uid="{4B8CF9A3-A368-4BA7-91E4-7CE86AD4F669}" name="Revenue" dataDxfId="29"/>
    <tableColumn id="9" xr3:uid="{13558C20-33B8-4115-BAA6-309074469D31}" name="Rev Abs Change " dataDxfId="28"/>
    <tableColumn id="7" xr3:uid="{A9D651BB-B95A-4141-980E-9B1853E8F6AD}" name="Rev Growth %" dataDxfId="27"/>
    <tableColumn id="3" xr3:uid="{74A25515-5C6B-4A8D-90AB-2CE105232467}" name="PAT" dataDxfId="26"/>
    <tableColumn id="11" xr3:uid="{25C889E6-987B-4FD4-BAD6-CCE986D7958C}" name="PAT Abs Change" dataDxfId="25"/>
    <tableColumn id="8" xr3:uid="{272621C4-1347-4F58-880F-DE522BE61F27}" name="PAT Growth %" dataDxfId="24"/>
    <tableColumn id="4" xr3:uid="{983143C6-3111-4002-BC3D-4E6A2FCC414C}" name="Total Assets" dataDxfId="23"/>
    <tableColumn id="5" xr3:uid="{7BF067A3-20CE-49FD-BDF2-E309BCB65A6D}" name="Total Debt" dataDxfId="22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B3AA9A9-6279-41DA-95AF-22F22628CECB}" name="Table13" displayName="Table13" ref="A2:B6" totalsRowShown="0" headerRowDxfId="21">
  <autoFilter ref="A2:B6" xr:uid="{7B3AA9A9-6279-41DA-95AF-22F22628CECB}"/>
  <tableColumns count="2">
    <tableColumn id="1" xr3:uid="{759D9120-D710-4BE9-8FC3-2189C6DCB08E}" name="Year"/>
    <tableColumn id="2" xr3:uid="{8E033A25-BC87-459E-B74D-0FF0AB2C2EB6}" name="Dividend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A25E7AD-35D3-4278-BAEC-7F79EA8DCD95}" name="Table14" displayName="Table14" ref="D2:E7" totalsRowShown="0" headerRowDxfId="20" dataDxfId="19">
  <autoFilter ref="D2:E7" xr:uid="{AA25E7AD-35D3-4278-BAEC-7F79EA8DCD95}"/>
  <tableColumns count="2">
    <tableColumn id="1" xr3:uid="{62EE5F7C-2C34-4927-A672-164E1278E5FE}" name="Item" dataDxfId="18"/>
    <tableColumn id="2" xr3:uid="{E2AF6192-4148-4216-95D4-310BA6D6B533}" name="Value" dataDxfId="17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A5ED44E-727D-4356-8BCF-CF0D100E8BEE}" name="Table15" displayName="Table15" ref="G2:J7" totalsRowCount="1" headerRowDxfId="16">
  <autoFilter ref="G2:J6" xr:uid="{AA5ED44E-727D-4356-8BCF-CF0D100E8BEE}"/>
  <tableColumns count="4">
    <tableColumn id="1" xr3:uid="{A9AAB6F8-A4A1-4D61-9073-F2E45EAD2FE8}" name="Year"/>
    <tableColumn id="2" xr3:uid="{85945D36-6BF8-4A64-9567-C31357D7C1FA}" name="Dividend"/>
    <tableColumn id="3" xr3:uid="{23A51CF2-4982-4EE1-B1EB-746E9C51BF09}" name="PV Factor" totalsRowLabel="Total PV of Dividend"/>
    <tableColumn id="4" xr3:uid="{52762232-2420-4665-8249-6E46CCA145D9}" name="Present Value" totalsRowFunction="custom">
      <calculatedColumnFormula>H3*I3</calculatedColumnFormula>
      <totalsRowFormula>SUM(Table15[Present Value])</totalsRowFormula>
    </tableColumn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4785653-3450-4FF5-8B8F-0D96B6DD34AD}" name="Table17" displayName="Table17" ref="A1:B9" totalsRowShown="0">
  <autoFilter ref="A1:B9" xr:uid="{04785653-3450-4FF5-8B8F-0D96B6DD34AD}"/>
  <tableColumns count="2">
    <tableColumn id="1" xr3:uid="{AE472510-D642-475B-A47D-8BB71759024E}" name="Item"/>
    <tableColumn id="2" xr3:uid="{8B8C3F77-84A1-44C9-A87B-3EE8BA6BBC4E}" name="Value" dataDxfId="15">
      <calculatedColumnFormula>Balance_Sheet_Data!G16</calculatedColumnFormula>
    </tableColumn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C3C4E09-9542-4FA7-B25B-2DE8D38097BC}" name="Table18" displayName="Table18" ref="A1:E9" totalsRowCount="1" headerRowDxfId="14" dataDxfId="13">
  <autoFilter ref="A1:E8" xr:uid="{0C3C4E09-9542-4FA7-B25B-2DE8D38097BC}"/>
  <tableColumns count="5">
    <tableColumn id="1" xr3:uid="{14F7F45F-D800-48AA-BBF6-B39B2BFE78E4}" name="Year" dataDxfId="12" totalsRowDxfId="11"/>
    <tableColumn id="2" xr3:uid="{9596E2E4-456B-42C6-829C-5A2A2109EA4A}" name="Cash Flow" dataDxfId="10" totalsRowDxfId="9"/>
    <tableColumn id="3" xr3:uid="{BAF48F3C-A4E6-4B73-B6CA-EAE49EFEE17C}" name="Present _Value_Factor  1/ (1+r)^t]" totalsRowLabel="NPV" dataDxfId="8" totalsRowDxfId="7">
      <calculatedColumnFormula>1/(1+$I$6)^5</calculatedColumnFormula>
    </tableColumn>
    <tableColumn id="4" xr3:uid="{EB239FCE-4DC2-468D-90B9-8CB18CA60D63}" name="PV" totalsRowFunction="custom" dataDxfId="6" totalsRowDxfId="5">
      <totalsRowFormula>SUM(Table18[PV])</totalsRowFormula>
    </tableColumn>
    <tableColumn id="5" xr3:uid="{BFCAD61E-F14A-4445-8C37-187A437C3D39}" name="Cumulative Cash Flow" dataDxfId="4"/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E6C4A44-9CBF-4E9E-8B40-FBD42EBC914C}" name="Table22" displayName="Table22" ref="A1:F7" totalsRowShown="0" headerRowDxfId="3">
  <autoFilter ref="A1:F7" xr:uid="{7E6C4A44-9CBF-4E9E-8B40-FBD42EBC914C}"/>
  <tableColumns count="6">
    <tableColumn id="1" xr3:uid="{D9D72332-407B-4AB8-B3EA-764159980550}" name="Year"/>
    <tableColumn id="2" xr3:uid="{3A28014A-1727-45D7-BC0A-EDAC033705F7}" name="Total Debt"/>
    <tableColumn id="3" xr3:uid="{EC975190-D903-4713-A684-88CDA005F4C1}" name="Total Equity"/>
    <tableColumn id="4" xr3:uid="{0EB88BB4-B22A-40B0-B263-F5E12CE6E666}" name="Total Capital" dataDxfId="2">
      <calculatedColumnFormula>Table22[[#This Row],[Total Debt]]+Table22[[#This Row],[Total Equity]]</calculatedColumnFormula>
    </tableColumn>
    <tableColumn id="5" xr3:uid="{F328CCE2-AE46-438E-9C6B-F7B2C8E74ABF}" name="Debt %" dataDxfId="1" dataCellStyle="Percent">
      <calculatedColumnFormula>Table22[[#This Row],[Total Debt]]/Table22[[#This Row],[Total Capital]]</calculatedColumnFormula>
    </tableColumn>
    <tableColumn id="6" xr3:uid="{78E58D09-5D4D-4205-AEC2-423773F21F66}" name="Equity %" dataDxfId="0">
      <calculatedColumnFormula>Table22[[#This Row],[Total Equity]]/Table22[[#This Row],[Total Capital]]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3-31T05:29:41.72" personId="{7D5CF79C-228A-4F47-A62A-6727A7378209}" id="{7A086109-79DD-4A7B-AFB2-546D73C6AA5B}">
    <text>Cost of Debt is assumed at 7% as banking interest includes deposits
Hence, calculated 37% is not realistic
Final WACC is estimated at 9%, indicating relatively low cost of capital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C57D-D9BA-42CD-8CF4-84EBDA1B5614}">
  <dimension ref="A1:G84"/>
  <sheetViews>
    <sheetView tabSelected="1" zoomScaleNormal="100" workbookViewId="0">
      <selection activeCell="K15" sqref="K15"/>
    </sheetView>
  </sheetViews>
  <sheetFormatPr defaultRowHeight="14.4" x14ac:dyDescent="0.3"/>
  <cols>
    <col min="1" max="1" width="54.33203125" bestFit="1" customWidth="1"/>
    <col min="2" max="7" width="12.109375" customWidth="1"/>
  </cols>
  <sheetData>
    <row r="1" spans="1:7" x14ac:dyDescent="0.3">
      <c r="A1" s="2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</row>
    <row r="2" spans="1:7" x14ac:dyDescent="0.3">
      <c r="A2" t="s">
        <v>20</v>
      </c>
      <c r="B2" s="1">
        <v>78211.38</v>
      </c>
      <c r="C2" s="1">
        <v>78217.13</v>
      </c>
      <c r="D2" s="1">
        <v>85030.89</v>
      </c>
      <c r="E2" s="1">
        <v>105788.58</v>
      </c>
      <c r="F2" s="1">
        <v>134866.89000000001</v>
      </c>
      <c r="G2" s="1">
        <v>152144.97</v>
      </c>
    </row>
    <row r="3" spans="1:7" x14ac:dyDescent="0.3">
      <c r="A3" t="s">
        <v>19</v>
      </c>
      <c r="B3" s="1">
        <v>76339.62</v>
      </c>
      <c r="C3" s="1">
        <v>76643.88</v>
      </c>
      <c r="D3" s="1">
        <v>82114.17</v>
      </c>
      <c r="E3" s="1">
        <v>101390.28</v>
      </c>
      <c r="F3" s="1">
        <v>131397.89000000001</v>
      </c>
      <c r="G3" s="1">
        <v>147394.25</v>
      </c>
    </row>
    <row r="4" spans="1:7" x14ac:dyDescent="0.3">
      <c r="A4" t="s">
        <v>18</v>
      </c>
      <c r="B4" s="1">
        <v>9691.94</v>
      </c>
      <c r="C4" s="1">
        <v>9358.91</v>
      </c>
      <c r="D4" s="1">
        <v>11358.62</v>
      </c>
      <c r="E4" s="1">
        <v>14088.88</v>
      </c>
      <c r="F4" s="1">
        <v>18256.400000000001</v>
      </c>
      <c r="G4" s="1">
        <v>20545.080000000002</v>
      </c>
    </row>
    <row r="5" spans="1:7" x14ac:dyDescent="0.3">
      <c r="A5" t="s">
        <v>17</v>
      </c>
      <c r="B5" s="1">
        <v>9691.94</v>
      </c>
      <c r="C5" s="1">
        <v>9358.91</v>
      </c>
      <c r="D5" s="1">
        <v>11358.62</v>
      </c>
      <c r="E5" s="1">
        <v>14088.88</v>
      </c>
      <c r="F5" s="1">
        <v>18256.400000000001</v>
      </c>
      <c r="G5" s="1">
        <v>20545.080000000002</v>
      </c>
    </row>
    <row r="6" spans="1:7" x14ac:dyDescent="0.3">
      <c r="A6" t="s">
        <v>16</v>
      </c>
      <c r="B6" s="1">
        <v>66647.679999999993</v>
      </c>
      <c r="C6" s="1">
        <v>67284.97</v>
      </c>
      <c r="D6" s="1">
        <v>70755.55</v>
      </c>
      <c r="E6" s="1">
        <v>87301.4</v>
      </c>
      <c r="F6" s="1">
        <v>113141.49</v>
      </c>
      <c r="G6" s="1">
        <v>126849.17</v>
      </c>
    </row>
    <row r="7" spans="1:7" x14ac:dyDescent="0.3">
      <c r="A7" t="s">
        <v>15</v>
      </c>
      <c r="B7" s="1">
        <v>62635.16</v>
      </c>
      <c r="C7" s="1">
        <v>63346.23</v>
      </c>
      <c r="D7" s="1">
        <v>67376.820000000007</v>
      </c>
      <c r="E7" s="1">
        <v>85163.77</v>
      </c>
      <c r="F7" s="1">
        <v>109368.63</v>
      </c>
      <c r="G7" s="1">
        <v>122677.05</v>
      </c>
    </row>
    <row r="8" spans="1:7" x14ac:dyDescent="0.3">
      <c r="A8" t="s">
        <v>14</v>
      </c>
      <c r="B8" s="1">
        <v>48302.97</v>
      </c>
      <c r="C8" s="1">
        <v>47619.8</v>
      </c>
      <c r="D8" s="1">
        <v>49616.58</v>
      </c>
      <c r="E8" s="1">
        <v>64553.81</v>
      </c>
      <c r="F8" s="1">
        <v>87106.6</v>
      </c>
      <c r="G8" s="1">
        <v>97200.27</v>
      </c>
    </row>
    <row r="9" spans="1:7" x14ac:dyDescent="0.3">
      <c r="A9" t="s">
        <v>13</v>
      </c>
      <c r="B9" s="1">
        <v>1095.26</v>
      </c>
      <c r="C9" s="1">
        <v>1037.8800000000001</v>
      </c>
      <c r="D9" s="1">
        <v>1528.15</v>
      </c>
      <c r="E9">
        <v>899.01</v>
      </c>
      <c r="F9">
        <v>908.27</v>
      </c>
      <c r="G9" s="1">
        <v>1236.22</v>
      </c>
    </row>
    <row r="10" spans="1:7" x14ac:dyDescent="0.3">
      <c r="A10" t="s">
        <v>12</v>
      </c>
      <c r="B10" s="1">
        <v>11246.03</v>
      </c>
      <c r="C10" s="1">
        <v>12558.21</v>
      </c>
      <c r="D10" s="1">
        <v>14618.91</v>
      </c>
      <c r="E10" s="1">
        <v>18178.73</v>
      </c>
      <c r="F10" s="1">
        <v>20010.62</v>
      </c>
      <c r="G10" s="1">
        <v>22928.35</v>
      </c>
    </row>
    <row r="11" spans="1:7" x14ac:dyDescent="0.3">
      <c r="A11" t="s">
        <v>11</v>
      </c>
      <c r="B11" s="1">
        <v>1990.9</v>
      </c>
      <c r="C11" s="1">
        <v>2130.34</v>
      </c>
      <c r="D11" s="1">
        <v>1613.18</v>
      </c>
      <c r="E11" s="1">
        <v>1532.22</v>
      </c>
      <c r="F11" s="1">
        <v>1343.14</v>
      </c>
      <c r="G11" s="1">
        <v>1312.21</v>
      </c>
    </row>
    <row r="12" spans="1:7" x14ac:dyDescent="0.3">
      <c r="A12" t="s">
        <v>10</v>
      </c>
      <c r="B12">
        <v>240.26</v>
      </c>
      <c r="C12">
        <v>58.35</v>
      </c>
      <c r="D12">
        <v>88.65</v>
      </c>
      <c r="E12">
        <v>15</v>
      </c>
      <c r="F12">
        <v>41.38</v>
      </c>
      <c r="G12">
        <v>24.58</v>
      </c>
    </row>
    <row r="13" spans="1:7" x14ac:dyDescent="0.3">
      <c r="A13" t="s">
        <v>9</v>
      </c>
      <c r="B13">
        <v>25.5</v>
      </c>
    </row>
    <row r="14" spans="1:7" x14ac:dyDescent="0.3">
      <c r="A14" t="s">
        <v>8</v>
      </c>
      <c r="B14" s="1">
        <v>3746.76</v>
      </c>
      <c r="C14" s="1">
        <v>3880.39</v>
      </c>
      <c r="D14" s="1">
        <v>3290.08</v>
      </c>
      <c r="E14" s="1">
        <v>2122.63</v>
      </c>
      <c r="F14" s="1">
        <v>3731.48</v>
      </c>
      <c r="G14" s="1">
        <v>4147.54</v>
      </c>
    </row>
    <row r="15" spans="1:7" x14ac:dyDescent="0.3">
      <c r="A15" t="s">
        <v>7</v>
      </c>
      <c r="B15" s="1">
        <v>2172.3000000000002</v>
      </c>
      <c r="C15" s="1">
        <v>2302.33</v>
      </c>
      <c r="D15" s="1">
        <v>1377.7</v>
      </c>
      <c r="E15">
        <v>320.54000000000002</v>
      </c>
      <c r="F15" s="1">
        <v>1796.01</v>
      </c>
      <c r="G15" s="1">
        <v>1984.76</v>
      </c>
    </row>
    <row r="16" spans="1:7" x14ac:dyDescent="0.3">
      <c r="A16" t="s">
        <v>6</v>
      </c>
      <c r="D16">
        <v>264.48</v>
      </c>
      <c r="F16">
        <v>431.34</v>
      </c>
      <c r="G16">
        <v>700.51</v>
      </c>
    </row>
    <row r="17" spans="1:7" x14ac:dyDescent="0.3">
      <c r="A17" t="s">
        <v>5</v>
      </c>
      <c r="B17" s="1">
        <v>1574.46</v>
      </c>
      <c r="C17" s="1">
        <v>1578.06</v>
      </c>
      <c r="D17" s="1">
        <v>1912.38</v>
      </c>
      <c r="E17" s="1">
        <v>1802.09</v>
      </c>
      <c r="F17" s="1">
        <v>1935.47</v>
      </c>
      <c r="G17" s="1">
        <v>2162.7800000000002</v>
      </c>
    </row>
    <row r="18" spans="1:7" x14ac:dyDescent="0.3">
      <c r="A18" t="s">
        <v>4</v>
      </c>
      <c r="B18">
        <v>283.60000000000002</v>
      </c>
      <c r="C18">
        <v>301.88</v>
      </c>
      <c r="D18">
        <v>488.07</v>
      </c>
      <c r="E18">
        <v>519.26</v>
      </c>
      <c r="F18">
        <v>416.42</v>
      </c>
      <c r="G18">
        <v>549.30999999999995</v>
      </c>
    </row>
    <row r="19" spans="1:7" x14ac:dyDescent="0.3">
      <c r="A19" t="s">
        <v>3</v>
      </c>
      <c r="B19" s="1">
        <v>1588.16</v>
      </c>
      <c r="C19" s="1">
        <v>1271.3699999999999</v>
      </c>
      <c r="D19" s="1">
        <v>2428.65</v>
      </c>
      <c r="E19" s="1">
        <v>3879.04</v>
      </c>
      <c r="F19" s="1">
        <v>3052.58</v>
      </c>
      <c r="G19" s="1">
        <v>4201.41</v>
      </c>
    </row>
    <row r="20" spans="1:7" x14ac:dyDescent="0.3">
      <c r="A20" t="s">
        <v>2</v>
      </c>
      <c r="B20" s="1">
        <v>1588.16</v>
      </c>
      <c r="C20" s="1">
        <v>1271.3699999999999</v>
      </c>
      <c r="D20" s="1">
        <v>2428.65</v>
      </c>
      <c r="E20" s="1">
        <v>3879.04</v>
      </c>
      <c r="F20" s="1">
        <v>3052.58</v>
      </c>
      <c r="G20" s="1">
        <v>4201.41</v>
      </c>
    </row>
    <row r="21" spans="1:7" x14ac:dyDescent="0.3">
      <c r="A21" t="s">
        <v>1</v>
      </c>
      <c r="B21" s="1">
        <v>1552.99</v>
      </c>
      <c r="C21" s="1">
        <v>1245.52</v>
      </c>
      <c r="D21" s="1">
        <v>2366.83</v>
      </c>
      <c r="E21" s="1">
        <v>2884.97</v>
      </c>
      <c r="F21" s="1">
        <v>2772.57</v>
      </c>
      <c r="G21" s="1">
        <v>3809.31</v>
      </c>
    </row>
    <row r="22" spans="1:7" x14ac:dyDescent="0.3">
      <c r="A22" t="s">
        <v>0</v>
      </c>
      <c r="B22">
        <v>35.17</v>
      </c>
      <c r="C22">
        <v>25.85</v>
      </c>
      <c r="D22">
        <v>61.82</v>
      </c>
      <c r="E22">
        <v>994.07</v>
      </c>
      <c r="F22">
        <v>280.01</v>
      </c>
      <c r="G22">
        <v>392.1</v>
      </c>
    </row>
    <row r="24" spans="1:7" x14ac:dyDescent="0.3">
      <c r="B24" s="1"/>
      <c r="C24" s="1"/>
      <c r="D24" s="1"/>
      <c r="E24" s="1"/>
      <c r="F24" s="1"/>
      <c r="G24" s="1"/>
    </row>
    <row r="25" spans="1:7" s="2" customFormat="1" x14ac:dyDescent="0.3">
      <c r="A25" s="2" t="s">
        <v>81</v>
      </c>
      <c r="B25" s="3" t="s">
        <v>75</v>
      </c>
      <c r="C25" s="3" t="s">
        <v>76</v>
      </c>
      <c r="D25" s="3" t="s">
        <v>77</v>
      </c>
      <c r="E25" s="3" t="s">
        <v>78</v>
      </c>
      <c r="F25" s="3" t="s">
        <v>79</v>
      </c>
      <c r="G25" s="3" t="s">
        <v>80</v>
      </c>
    </row>
    <row r="26" spans="1:7" x14ac:dyDescent="0.3">
      <c r="A26" t="s">
        <v>52</v>
      </c>
      <c r="B26" s="1">
        <v>76584.160000000003</v>
      </c>
      <c r="C26" s="1">
        <v>71628.63</v>
      </c>
      <c r="D26" s="1">
        <v>72005.41</v>
      </c>
      <c r="E26" s="1">
        <v>96208.9</v>
      </c>
      <c r="F26" s="1">
        <v>110005.46</v>
      </c>
      <c r="G26" s="1">
        <v>125771.49</v>
      </c>
    </row>
    <row r="27" spans="1:7" x14ac:dyDescent="0.3">
      <c r="A27" t="s">
        <v>51</v>
      </c>
      <c r="B27" s="1">
        <v>54105.62</v>
      </c>
      <c r="C27" s="1">
        <v>53801.77</v>
      </c>
      <c r="D27" s="1">
        <v>56846.98</v>
      </c>
      <c r="E27" s="1">
        <v>69017.64</v>
      </c>
      <c r="F27" s="1">
        <v>93353.69</v>
      </c>
      <c r="G27" s="1">
        <v>104130.04</v>
      </c>
    </row>
    <row r="28" spans="1:7" x14ac:dyDescent="0.3">
      <c r="A28" t="s">
        <v>50</v>
      </c>
      <c r="B28" s="1">
        <v>37564.949999999997</v>
      </c>
      <c r="C28" s="1">
        <v>36374.78</v>
      </c>
      <c r="D28" s="1">
        <v>34244.61</v>
      </c>
      <c r="E28" s="1">
        <v>42813.59</v>
      </c>
      <c r="F28" s="1">
        <v>59474.16</v>
      </c>
      <c r="G28" s="1">
        <v>68329.22</v>
      </c>
    </row>
    <row r="29" spans="1:7" x14ac:dyDescent="0.3">
      <c r="A29" t="s">
        <v>49</v>
      </c>
      <c r="B29" s="1">
        <v>37564.949999999997</v>
      </c>
      <c r="C29" s="1">
        <v>36374.78</v>
      </c>
      <c r="D29" s="1">
        <v>34244.61</v>
      </c>
      <c r="E29" s="1">
        <v>42813.59</v>
      </c>
      <c r="F29" s="1">
        <v>59474.16</v>
      </c>
      <c r="G29" s="1">
        <v>68329.22</v>
      </c>
    </row>
    <row r="30" spans="1:7" x14ac:dyDescent="0.3">
      <c r="A30" t="s">
        <v>48</v>
      </c>
      <c r="B30" s="1">
        <v>37428.959999999999</v>
      </c>
      <c r="C30" s="1">
        <v>34107.11</v>
      </c>
      <c r="D30" s="1">
        <v>34244.61</v>
      </c>
      <c r="E30" s="1">
        <v>42218.02</v>
      </c>
      <c r="F30" s="1">
        <v>59474.16</v>
      </c>
      <c r="G30" s="1">
        <v>68329.22</v>
      </c>
    </row>
    <row r="31" spans="1:7" x14ac:dyDescent="0.3">
      <c r="A31" t="s">
        <v>47</v>
      </c>
      <c r="B31">
        <v>135.99</v>
      </c>
      <c r="C31" s="1">
        <v>2267.67</v>
      </c>
      <c r="E31">
        <v>595.57000000000005</v>
      </c>
    </row>
    <row r="32" spans="1:7" x14ac:dyDescent="0.3">
      <c r="A32" t="s">
        <v>46</v>
      </c>
      <c r="C32" s="1">
        <v>1329.08</v>
      </c>
      <c r="E32">
        <v>595.57000000000005</v>
      </c>
    </row>
    <row r="33" spans="1:7" x14ac:dyDescent="0.3">
      <c r="A33" t="s">
        <v>45</v>
      </c>
      <c r="C33" s="1">
        <v>1329.08</v>
      </c>
      <c r="E33">
        <v>595.57000000000005</v>
      </c>
    </row>
    <row r="34" spans="1:7" x14ac:dyDescent="0.3">
      <c r="A34" t="s">
        <v>44</v>
      </c>
      <c r="B34" s="1">
        <v>5329.99</v>
      </c>
      <c r="C34" s="1">
        <v>6164.01</v>
      </c>
      <c r="D34" s="1">
        <v>7612.55</v>
      </c>
      <c r="E34" s="1">
        <v>8760.0499999999993</v>
      </c>
      <c r="F34" s="1">
        <v>10933.11</v>
      </c>
      <c r="G34" s="1">
        <v>12192.79</v>
      </c>
    </row>
    <row r="35" spans="1:7" x14ac:dyDescent="0.3">
      <c r="A35" t="s">
        <v>43</v>
      </c>
      <c r="B35" s="1">
        <v>1136.19</v>
      </c>
      <c r="C35" s="1">
        <v>1168.27</v>
      </c>
      <c r="D35" s="1">
        <v>1335.55</v>
      </c>
      <c r="E35" s="1">
        <v>1435.4</v>
      </c>
      <c r="F35" s="1">
        <v>1783.61</v>
      </c>
      <c r="G35" s="1">
        <v>2011.86</v>
      </c>
    </row>
    <row r="36" spans="1:7" x14ac:dyDescent="0.3">
      <c r="A36" t="s">
        <v>42</v>
      </c>
      <c r="B36" s="1">
        <v>1142.9100000000001</v>
      </c>
      <c r="C36" s="1">
        <v>1193.7</v>
      </c>
      <c r="D36" s="1">
        <v>1377.43</v>
      </c>
      <c r="E36" s="1">
        <v>1481.44</v>
      </c>
      <c r="F36" s="1">
        <v>1799.33</v>
      </c>
      <c r="G36" s="1">
        <v>2167.84</v>
      </c>
    </row>
    <row r="37" spans="1:7" x14ac:dyDescent="0.3">
      <c r="A37" t="s">
        <v>41</v>
      </c>
      <c r="B37">
        <v>751.1</v>
      </c>
      <c r="C37">
        <v>999.43</v>
      </c>
      <c r="D37" s="1">
        <v>1284.24</v>
      </c>
      <c r="E37" s="1">
        <v>1418.16</v>
      </c>
      <c r="F37" s="1">
        <v>1598.58</v>
      </c>
      <c r="G37" s="1">
        <v>1786.3</v>
      </c>
    </row>
    <row r="38" spans="1:7" x14ac:dyDescent="0.3">
      <c r="A38" t="s">
        <v>40</v>
      </c>
      <c r="B38">
        <v>125.54</v>
      </c>
      <c r="C38">
        <v>126.49</v>
      </c>
      <c r="D38">
        <v>210.52</v>
      </c>
      <c r="E38">
        <v>177.13</v>
      </c>
      <c r="F38">
        <v>192.94</v>
      </c>
      <c r="G38">
        <v>212.14</v>
      </c>
    </row>
    <row r="39" spans="1:7" x14ac:dyDescent="0.3">
      <c r="A39" t="s">
        <v>39</v>
      </c>
      <c r="B39">
        <v>2.0699999999999998</v>
      </c>
      <c r="C39">
        <v>2.4900000000000002</v>
      </c>
      <c r="D39">
        <v>4.99</v>
      </c>
      <c r="E39">
        <v>5.55</v>
      </c>
      <c r="F39">
        <v>5.59</v>
      </c>
      <c r="G39">
        <v>6.25</v>
      </c>
    </row>
    <row r="40" spans="1:7" x14ac:dyDescent="0.3">
      <c r="A40" t="s">
        <v>38</v>
      </c>
      <c r="B40">
        <v>112.56</v>
      </c>
      <c r="C40">
        <v>81.31</v>
      </c>
      <c r="D40">
        <v>73.260000000000005</v>
      </c>
      <c r="E40">
        <v>144.22999999999999</v>
      </c>
      <c r="F40">
        <v>108.28</v>
      </c>
      <c r="G40">
        <v>121.98</v>
      </c>
    </row>
    <row r="41" spans="1:7" x14ac:dyDescent="0.3">
      <c r="A41" t="s">
        <v>37</v>
      </c>
      <c r="B41">
        <v>273.95</v>
      </c>
      <c r="C41">
        <v>300.45</v>
      </c>
      <c r="D41">
        <v>287.98</v>
      </c>
      <c r="E41">
        <v>362.8</v>
      </c>
      <c r="F41">
        <v>415.04</v>
      </c>
      <c r="G41">
        <v>429.17</v>
      </c>
    </row>
    <row r="42" spans="1:7" x14ac:dyDescent="0.3">
      <c r="A42" t="s">
        <v>36</v>
      </c>
      <c r="B42">
        <v>162.91999999999999</v>
      </c>
      <c r="C42">
        <v>169.33</v>
      </c>
      <c r="D42">
        <v>230.19</v>
      </c>
      <c r="E42">
        <v>312.7</v>
      </c>
      <c r="F42">
        <v>353.83</v>
      </c>
      <c r="G42">
        <v>370.54</v>
      </c>
    </row>
    <row r="43" spans="1:7" x14ac:dyDescent="0.3">
      <c r="A43" t="s">
        <v>35</v>
      </c>
      <c r="B43" s="1">
        <v>7604.4</v>
      </c>
      <c r="C43" s="1">
        <v>7312.16</v>
      </c>
      <c r="D43" s="1">
        <v>10323.91</v>
      </c>
      <c r="E43" s="1">
        <v>12308.51</v>
      </c>
      <c r="F43" s="1">
        <v>16957.88</v>
      </c>
      <c r="G43" s="1">
        <v>16928.52</v>
      </c>
    </row>
    <row r="44" spans="1:7" x14ac:dyDescent="0.3">
      <c r="A44" t="s">
        <v>34</v>
      </c>
      <c r="B44" s="1">
        <v>19197.05</v>
      </c>
      <c r="C44" s="1">
        <v>15602.65</v>
      </c>
      <c r="D44" s="1">
        <v>10796.47</v>
      </c>
      <c r="E44" s="1">
        <v>19858.3</v>
      </c>
      <c r="F44" s="1">
        <v>8449.42</v>
      </c>
      <c r="G44" s="1">
        <v>13658.9</v>
      </c>
    </row>
    <row r="45" spans="1:7" x14ac:dyDescent="0.3">
      <c r="A45" t="s">
        <v>33</v>
      </c>
      <c r="B45">
        <v>772.95</v>
      </c>
      <c r="C45">
        <v>948.15</v>
      </c>
      <c r="D45" s="1">
        <v>1008.37</v>
      </c>
      <c r="E45" s="1">
        <v>13094.48</v>
      </c>
      <c r="F45" s="1">
        <v>1333.75</v>
      </c>
      <c r="G45" s="1">
        <v>1699.14</v>
      </c>
    </row>
    <row r="46" spans="1:7" x14ac:dyDescent="0.3">
      <c r="A46" t="s">
        <v>32</v>
      </c>
      <c r="B46" s="1">
        <v>18424.099999999999</v>
      </c>
      <c r="C46" s="1">
        <v>14654.5</v>
      </c>
      <c r="D46" s="1">
        <v>9788.1</v>
      </c>
      <c r="E46" s="1">
        <v>6763.82</v>
      </c>
      <c r="F46" s="1">
        <v>7115.67</v>
      </c>
      <c r="G46" s="1">
        <v>11959.76</v>
      </c>
    </row>
    <row r="47" spans="1:7" x14ac:dyDescent="0.3">
      <c r="A47" t="s">
        <v>31</v>
      </c>
      <c r="B47" s="1">
        <v>14219.02</v>
      </c>
      <c r="C47" s="1">
        <v>13724.26</v>
      </c>
      <c r="D47" s="1">
        <v>8669.1299999999992</v>
      </c>
      <c r="E47" s="1">
        <v>6683.47</v>
      </c>
      <c r="F47" s="1">
        <v>6667.88</v>
      </c>
      <c r="G47" s="1">
        <v>11432.21</v>
      </c>
    </row>
    <row r="48" spans="1:7" x14ac:dyDescent="0.3">
      <c r="A48" t="s">
        <v>30</v>
      </c>
      <c r="B48" s="1">
        <v>4205.08</v>
      </c>
      <c r="C48">
        <v>930.24</v>
      </c>
      <c r="D48" s="1">
        <v>1118.97</v>
      </c>
      <c r="E48">
        <v>80.349999999999994</v>
      </c>
      <c r="F48">
        <v>447.79</v>
      </c>
      <c r="G48">
        <v>527.54999999999995</v>
      </c>
    </row>
    <row r="49" spans="1:7" x14ac:dyDescent="0.3">
      <c r="A49" t="s">
        <v>29</v>
      </c>
      <c r="B49">
        <v>100.96</v>
      </c>
      <c r="C49">
        <v>90.65</v>
      </c>
      <c r="D49">
        <v>138.25</v>
      </c>
      <c r="E49">
        <v>201.92</v>
      </c>
      <c r="F49">
        <v>268.66000000000003</v>
      </c>
      <c r="G49">
        <v>426.57</v>
      </c>
    </row>
    <row r="50" spans="1:7" x14ac:dyDescent="0.3">
      <c r="A50" t="s">
        <v>28</v>
      </c>
      <c r="B50">
        <v>4.4800000000000004</v>
      </c>
      <c r="C50">
        <v>6.86</v>
      </c>
      <c r="D50">
        <v>4.88</v>
      </c>
      <c r="E50">
        <v>6.79</v>
      </c>
      <c r="F50">
        <v>3.72</v>
      </c>
      <c r="G50">
        <v>9.4499999999999993</v>
      </c>
    </row>
    <row r="51" spans="1:7" x14ac:dyDescent="0.3">
      <c r="A51" t="s">
        <v>27</v>
      </c>
      <c r="B51">
        <v>4.4800000000000004</v>
      </c>
      <c r="C51">
        <v>6.86</v>
      </c>
      <c r="D51">
        <v>4.88</v>
      </c>
      <c r="E51">
        <v>6.79</v>
      </c>
      <c r="F51">
        <v>3.72</v>
      </c>
      <c r="G51">
        <v>9.4499999999999993</v>
      </c>
    </row>
    <row r="52" spans="1:7" x14ac:dyDescent="0.3">
      <c r="A52" t="s">
        <v>26</v>
      </c>
      <c r="B52">
        <v>4.4800000000000004</v>
      </c>
      <c r="C52">
        <v>6.86</v>
      </c>
      <c r="D52">
        <v>4.88</v>
      </c>
      <c r="E52">
        <v>6.79</v>
      </c>
      <c r="F52">
        <v>3.72</v>
      </c>
      <c r="G52">
        <v>9.48</v>
      </c>
    </row>
    <row r="53" spans="1:7" x14ac:dyDescent="0.3">
      <c r="A53" t="s">
        <v>25</v>
      </c>
      <c r="B53" s="1">
        <v>3277.01</v>
      </c>
      <c r="C53" s="1">
        <v>2217.35</v>
      </c>
      <c r="D53" s="1">
        <v>4357.08</v>
      </c>
      <c r="E53" s="1">
        <v>7326.17</v>
      </c>
      <c r="F53" s="1">
        <v>8198.6299999999992</v>
      </c>
      <c r="G53" s="1">
        <v>7973.1</v>
      </c>
    </row>
    <row r="54" spans="1:7" x14ac:dyDescent="0.3">
      <c r="A54" t="s">
        <v>24</v>
      </c>
      <c r="B54" s="1">
        <v>2891.25</v>
      </c>
      <c r="C54" s="1">
        <v>2489.14</v>
      </c>
      <c r="D54" s="1">
        <v>4199.1499999999996</v>
      </c>
      <c r="E54" s="1">
        <v>6290.88</v>
      </c>
      <c r="F54" s="1">
        <v>7184.37</v>
      </c>
      <c r="G54" s="1">
        <v>7477.2</v>
      </c>
    </row>
    <row r="55" spans="1:7" x14ac:dyDescent="0.3">
      <c r="A55" t="s">
        <v>23</v>
      </c>
      <c r="B55">
        <v>385.76</v>
      </c>
      <c r="D55">
        <v>157.93</v>
      </c>
      <c r="E55" s="1">
        <v>1035.29</v>
      </c>
      <c r="F55" s="1">
        <v>1014.26</v>
      </c>
      <c r="G55">
        <v>495.9</v>
      </c>
    </row>
    <row r="56" spans="1:7" x14ac:dyDescent="0.3">
      <c r="A56" t="s">
        <v>22</v>
      </c>
      <c r="C56">
        <v>271.79000000000002</v>
      </c>
    </row>
    <row r="59" spans="1:7" s="2" customFormat="1" x14ac:dyDescent="0.3">
      <c r="A59" s="2" t="s">
        <v>74</v>
      </c>
      <c r="B59" s="3" t="s">
        <v>75</v>
      </c>
      <c r="C59" s="3" t="s">
        <v>76</v>
      </c>
      <c r="D59" s="3" t="s">
        <v>77</v>
      </c>
      <c r="E59" s="3" t="s">
        <v>78</v>
      </c>
      <c r="F59" s="3" t="s">
        <v>79</v>
      </c>
      <c r="G59" s="3" t="s">
        <v>80</v>
      </c>
    </row>
    <row r="60" spans="1:7" x14ac:dyDescent="0.3">
      <c r="A60" t="s">
        <v>73</v>
      </c>
    </row>
    <row r="61" spans="1:7" x14ac:dyDescent="0.3">
      <c r="A61" t="s">
        <v>72</v>
      </c>
      <c r="B61" s="1">
        <v>21461.05</v>
      </c>
      <c r="C61" s="1">
        <v>21893.96</v>
      </c>
      <c r="D61" s="1">
        <v>24258.82</v>
      </c>
      <c r="E61" s="1">
        <v>19278.16</v>
      </c>
      <c r="F61" s="1">
        <v>36710.449999999997</v>
      </c>
      <c r="G61" s="1">
        <v>41565.07</v>
      </c>
    </row>
    <row r="62" spans="1:7" x14ac:dyDescent="0.3">
      <c r="A62" t="s">
        <v>32</v>
      </c>
      <c r="B62" s="1">
        <v>18424.099999999999</v>
      </c>
      <c r="C62" s="1">
        <v>14654.5</v>
      </c>
      <c r="D62" s="1">
        <v>9788.1</v>
      </c>
      <c r="E62" s="1">
        <v>6763.82</v>
      </c>
      <c r="F62" s="1">
        <v>7115.67</v>
      </c>
      <c r="G62" s="1">
        <v>11959.76</v>
      </c>
    </row>
    <row r="63" spans="1:7" x14ac:dyDescent="0.3">
      <c r="A63" t="s">
        <v>71</v>
      </c>
      <c r="B63" s="1">
        <v>14219.02</v>
      </c>
      <c r="C63" s="1">
        <v>13724.26</v>
      </c>
      <c r="D63" s="1">
        <v>8669.1299999999992</v>
      </c>
      <c r="E63" s="1">
        <v>6683.47</v>
      </c>
      <c r="F63" s="1">
        <v>6667.88</v>
      </c>
      <c r="G63" s="1">
        <v>11432.21</v>
      </c>
    </row>
    <row r="64" spans="1:7" x14ac:dyDescent="0.3">
      <c r="A64" t="s">
        <v>70</v>
      </c>
      <c r="B64" s="1">
        <v>4205.08</v>
      </c>
      <c r="C64">
        <v>930.24</v>
      </c>
      <c r="D64" s="1">
        <v>1118.97</v>
      </c>
      <c r="E64">
        <v>80.349999999999994</v>
      </c>
      <c r="F64">
        <v>447.79</v>
      </c>
      <c r="G64">
        <v>527.54999999999995</v>
      </c>
    </row>
    <row r="65" spans="1:7" x14ac:dyDescent="0.3">
      <c r="A65" t="s">
        <v>69</v>
      </c>
      <c r="B65" s="1">
        <v>3277.01</v>
      </c>
      <c r="C65" s="1">
        <v>2217.35</v>
      </c>
      <c r="D65" s="1">
        <v>4357.08</v>
      </c>
      <c r="E65" s="1">
        <v>7326.17</v>
      </c>
      <c r="F65" s="1">
        <v>8198.6299999999992</v>
      </c>
      <c r="G65" s="1">
        <v>7973.1</v>
      </c>
    </row>
    <row r="66" spans="1:7" x14ac:dyDescent="0.3">
      <c r="A66" t="s">
        <v>68</v>
      </c>
      <c r="B66">
        <v>283.60000000000002</v>
      </c>
      <c r="C66">
        <v>301.88</v>
      </c>
      <c r="D66">
        <v>488.07</v>
      </c>
      <c r="E66">
        <v>519.26</v>
      </c>
      <c r="F66">
        <v>416.42</v>
      </c>
      <c r="G66">
        <v>549.30999999999995</v>
      </c>
    </row>
    <row r="67" spans="1:7" x14ac:dyDescent="0.3">
      <c r="A67" t="s">
        <v>67</v>
      </c>
      <c r="B67">
        <v>43.54</v>
      </c>
      <c r="C67" s="1">
        <v>5323.99</v>
      </c>
      <c r="D67" s="1">
        <v>10601.71</v>
      </c>
      <c r="E67" s="1">
        <v>5707.43</v>
      </c>
      <c r="F67" s="1">
        <v>21812.57</v>
      </c>
      <c r="G67" s="1">
        <v>22181.52</v>
      </c>
    </row>
    <row r="68" spans="1:7" x14ac:dyDescent="0.3">
      <c r="A68" t="s">
        <v>66</v>
      </c>
      <c r="B68" s="1">
        <v>1583.68</v>
      </c>
      <c r="C68" s="1">
        <v>1264.51</v>
      </c>
      <c r="D68" s="1">
        <v>2423.77</v>
      </c>
      <c r="E68" s="1">
        <v>3872.25</v>
      </c>
      <c r="F68" s="1">
        <v>3048.86</v>
      </c>
      <c r="G68" s="1">
        <v>4191.96</v>
      </c>
    </row>
    <row r="69" spans="1:7" x14ac:dyDescent="0.3">
      <c r="A69" t="s">
        <v>65</v>
      </c>
      <c r="B69" s="1">
        <v>1588.16</v>
      </c>
      <c r="C69" s="1">
        <v>1271.3699999999999</v>
      </c>
      <c r="D69" s="1">
        <v>2428.65</v>
      </c>
      <c r="E69" s="1">
        <v>3879.04</v>
      </c>
      <c r="F69" s="1">
        <v>3052.58</v>
      </c>
      <c r="G69" s="1">
        <v>4201.41</v>
      </c>
    </row>
    <row r="70" spans="1:7" x14ac:dyDescent="0.3">
      <c r="A70" t="s">
        <v>64</v>
      </c>
      <c r="B70">
        <v>4.4800000000000004</v>
      </c>
      <c r="C70">
        <v>6.86</v>
      </c>
      <c r="D70">
        <v>4.88</v>
      </c>
      <c r="E70">
        <v>6.79</v>
      </c>
      <c r="F70">
        <v>3.72</v>
      </c>
      <c r="G70">
        <v>9.4499999999999993</v>
      </c>
    </row>
    <row r="71" spans="1:7" x14ac:dyDescent="0.3">
      <c r="A71" t="s">
        <v>63</v>
      </c>
      <c r="B71" s="1">
        <v>1627.22</v>
      </c>
      <c r="C71" s="1">
        <v>6588.5</v>
      </c>
      <c r="D71" s="1">
        <v>13025.48</v>
      </c>
      <c r="E71" s="1">
        <v>9579.68</v>
      </c>
      <c r="F71" s="1">
        <v>24861.43</v>
      </c>
      <c r="G71" s="1">
        <v>26373.48</v>
      </c>
    </row>
    <row r="72" spans="1:7" x14ac:dyDescent="0.3">
      <c r="A72" t="s">
        <v>57</v>
      </c>
      <c r="B72">
        <v>288.86</v>
      </c>
      <c r="E72">
        <v>307.14999999999998</v>
      </c>
      <c r="F72">
        <v>307.98</v>
      </c>
      <c r="G72">
        <v>309.08999999999997</v>
      </c>
    </row>
    <row r="73" spans="1:7" x14ac:dyDescent="0.3">
      <c r="A73" t="s">
        <v>56</v>
      </c>
      <c r="B73">
        <v>288.86</v>
      </c>
      <c r="E73">
        <v>307.14999999999998</v>
      </c>
      <c r="F73">
        <v>307.98</v>
      </c>
      <c r="G73">
        <v>309.08999999999997</v>
      </c>
    </row>
    <row r="74" spans="1:7" x14ac:dyDescent="0.3">
      <c r="A74" t="s">
        <v>53</v>
      </c>
      <c r="B74" s="1">
        <v>1338.36</v>
      </c>
      <c r="C74" s="1">
        <v>6588.5</v>
      </c>
      <c r="D74" s="1">
        <v>13025.48</v>
      </c>
      <c r="E74" s="1">
        <v>9272.5300000000007</v>
      </c>
      <c r="F74" s="1">
        <v>24553.45</v>
      </c>
      <c r="G74" s="1">
        <v>26064.39</v>
      </c>
    </row>
    <row r="75" spans="1:7" x14ac:dyDescent="0.3">
      <c r="A75" t="s">
        <v>62</v>
      </c>
      <c r="B75" s="1">
        <v>24322.99</v>
      </c>
      <c r="C75" s="1">
        <v>26190.45</v>
      </c>
      <c r="D75" s="1">
        <v>29985.279999999999</v>
      </c>
      <c r="E75" s="1">
        <v>38100.660000000003</v>
      </c>
      <c r="F75" s="1">
        <v>44144.93</v>
      </c>
      <c r="G75" s="1">
        <v>60254.06</v>
      </c>
    </row>
    <row r="76" spans="1:7" x14ac:dyDescent="0.3">
      <c r="A76" t="s">
        <v>61</v>
      </c>
      <c r="E76">
        <v>148.5</v>
      </c>
    </row>
    <row r="77" spans="1:7" x14ac:dyDescent="0.3">
      <c r="A77" t="s">
        <v>60</v>
      </c>
      <c r="B77" s="1">
        <v>1076.18</v>
      </c>
      <c r="C77" s="1">
        <v>2821.35</v>
      </c>
      <c r="D77" s="1">
        <v>4910.1000000000004</v>
      </c>
      <c r="E77" s="1">
        <v>3376.76</v>
      </c>
      <c r="F77" s="1">
        <v>8444.33</v>
      </c>
      <c r="G77" s="1">
        <v>8080.45</v>
      </c>
    </row>
    <row r="78" spans="1:7" x14ac:dyDescent="0.3">
      <c r="A78" t="s">
        <v>59</v>
      </c>
      <c r="B78" s="1">
        <v>1338.36</v>
      </c>
      <c r="C78" s="1">
        <v>6588.5</v>
      </c>
      <c r="D78" s="1">
        <v>13025.48</v>
      </c>
      <c r="E78" s="1">
        <v>9272.5300000000007</v>
      </c>
      <c r="F78" s="1">
        <v>24553.45</v>
      </c>
      <c r="G78" s="1">
        <v>26064.39</v>
      </c>
    </row>
    <row r="79" spans="1:7" x14ac:dyDescent="0.3">
      <c r="A79" t="s">
        <v>58</v>
      </c>
      <c r="B79" s="1">
        <v>26190.45</v>
      </c>
      <c r="C79" s="1">
        <v>29985.279999999999</v>
      </c>
      <c r="D79" s="1">
        <v>38100.660000000003</v>
      </c>
      <c r="E79" s="1">
        <v>44144.93</v>
      </c>
      <c r="F79" s="1">
        <v>60254.06</v>
      </c>
      <c r="G79" s="1">
        <v>78238</v>
      </c>
    </row>
    <row r="80" spans="1:7" x14ac:dyDescent="0.3">
      <c r="A80" t="s">
        <v>57</v>
      </c>
      <c r="B80">
        <v>17.75</v>
      </c>
      <c r="C80">
        <v>0</v>
      </c>
      <c r="D80">
        <v>0</v>
      </c>
      <c r="E80">
        <v>3.21</v>
      </c>
      <c r="F80">
        <v>1.24</v>
      </c>
      <c r="G80">
        <v>1.17</v>
      </c>
    </row>
    <row r="81" spans="1:7" x14ac:dyDescent="0.3">
      <c r="A81" t="s">
        <v>56</v>
      </c>
      <c r="B81">
        <v>17.75</v>
      </c>
      <c r="C81">
        <v>0</v>
      </c>
      <c r="D81">
        <v>0</v>
      </c>
      <c r="E81">
        <v>3.21</v>
      </c>
      <c r="F81">
        <v>1.24</v>
      </c>
      <c r="G81">
        <v>1.17</v>
      </c>
    </row>
    <row r="82" spans="1:7" x14ac:dyDescent="0.3">
      <c r="A82" t="s">
        <v>55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53</v>
      </c>
      <c r="B84">
        <v>82.25</v>
      </c>
      <c r="C84">
        <v>100</v>
      </c>
      <c r="D84">
        <v>100</v>
      </c>
      <c r="E84">
        <v>96.79</v>
      </c>
      <c r="F84">
        <v>98.76</v>
      </c>
      <c r="G84">
        <v>98.83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A265-D19E-4BEF-B2F3-A6D91BB4ABCD}">
  <dimension ref="A1:G129"/>
  <sheetViews>
    <sheetView zoomScaleNormal="100" workbookViewId="0">
      <selection activeCell="D107" sqref="D107"/>
    </sheetView>
  </sheetViews>
  <sheetFormatPr defaultRowHeight="14.4" x14ac:dyDescent="0.3"/>
  <cols>
    <col min="1" max="1" width="65.109375" bestFit="1" customWidth="1"/>
    <col min="2" max="3" width="11.109375" bestFit="1" customWidth="1"/>
    <col min="4" max="7" width="12.109375" bestFit="1" customWidth="1"/>
  </cols>
  <sheetData>
    <row r="1" spans="1:7" s="2" customFormat="1" x14ac:dyDescent="0.3">
      <c r="A1" s="2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</row>
    <row r="2" spans="1:7" x14ac:dyDescent="0.3">
      <c r="A2" t="s">
        <v>82</v>
      </c>
      <c r="B2" s="1">
        <v>915222.36</v>
      </c>
      <c r="C2" s="1">
        <v>996160.46</v>
      </c>
      <c r="D2" s="1">
        <v>1175625.24</v>
      </c>
      <c r="E2" s="1">
        <v>1317743.8500000001</v>
      </c>
      <c r="F2" s="1">
        <v>1477892.9</v>
      </c>
      <c r="G2" s="1">
        <v>1611217.9199999999</v>
      </c>
    </row>
    <row r="3" spans="1:7" x14ac:dyDescent="0.3">
      <c r="A3" t="s">
        <v>83</v>
      </c>
      <c r="B3">
        <v>564.34</v>
      </c>
      <c r="C3">
        <v>612.75</v>
      </c>
      <c r="D3">
        <v>613.95000000000005</v>
      </c>
      <c r="E3">
        <v>615.37</v>
      </c>
      <c r="F3">
        <v>617.30999999999995</v>
      </c>
      <c r="G3">
        <v>619.47</v>
      </c>
    </row>
    <row r="4" spans="1:7" x14ac:dyDescent="0.3">
      <c r="A4" t="s">
        <v>84</v>
      </c>
      <c r="B4">
        <v>564.34</v>
      </c>
      <c r="C4">
        <v>612.75</v>
      </c>
      <c r="D4">
        <v>613.95000000000005</v>
      </c>
      <c r="E4">
        <v>615.37</v>
      </c>
      <c r="F4">
        <v>617.30999999999995</v>
      </c>
      <c r="G4">
        <v>619.47</v>
      </c>
    </row>
    <row r="5" spans="1:7" x14ac:dyDescent="0.3">
      <c r="A5" t="s">
        <v>85</v>
      </c>
      <c r="B5" s="1">
        <v>84383.5</v>
      </c>
      <c r="C5" s="1">
        <v>100990.26</v>
      </c>
      <c r="D5" s="1">
        <v>114560.11</v>
      </c>
      <c r="E5" s="1">
        <v>124801.28</v>
      </c>
      <c r="F5" s="1">
        <v>150444.26999999999</v>
      </c>
      <c r="G5" s="1">
        <v>179105.65</v>
      </c>
    </row>
    <row r="6" spans="1:7" x14ac:dyDescent="0.3">
      <c r="A6" t="s">
        <v>86</v>
      </c>
      <c r="B6" s="1">
        <v>26544.76</v>
      </c>
      <c r="C6" s="1">
        <v>30339.59</v>
      </c>
      <c r="D6" s="1">
        <v>38454.97</v>
      </c>
      <c r="E6" s="1">
        <v>44500.85</v>
      </c>
      <c r="F6" s="1">
        <v>60612.18</v>
      </c>
      <c r="G6" s="1">
        <v>80064.240000000005</v>
      </c>
    </row>
    <row r="7" spans="1:7" x14ac:dyDescent="0.3">
      <c r="A7" t="s">
        <v>87</v>
      </c>
      <c r="B7">
        <v>354.31</v>
      </c>
      <c r="C7">
        <v>354.31</v>
      </c>
      <c r="D7">
        <v>354.31</v>
      </c>
      <c r="E7">
        <v>355.92</v>
      </c>
      <c r="F7">
        <v>358.12</v>
      </c>
      <c r="G7" s="1">
        <v>1826.24</v>
      </c>
    </row>
    <row r="8" spans="1:7" x14ac:dyDescent="0.3">
      <c r="A8" t="s">
        <v>88</v>
      </c>
      <c r="B8" s="1">
        <v>26190.45</v>
      </c>
      <c r="C8" s="1">
        <v>29985.279999999999</v>
      </c>
      <c r="D8" s="1">
        <v>38100.660000000003</v>
      </c>
      <c r="E8" s="1">
        <v>44144.93</v>
      </c>
      <c r="F8" s="1">
        <v>60254.06</v>
      </c>
      <c r="G8" s="1">
        <v>78238</v>
      </c>
    </row>
    <row r="9" spans="1:7" x14ac:dyDescent="0.3">
      <c r="A9" t="s">
        <v>89</v>
      </c>
      <c r="B9" s="1">
        <v>57838.74</v>
      </c>
      <c r="C9" s="1">
        <v>70650.67</v>
      </c>
      <c r="D9" s="1">
        <v>76105.14</v>
      </c>
      <c r="E9" s="1">
        <v>80300.429999999993</v>
      </c>
      <c r="F9" s="1">
        <v>89832.09</v>
      </c>
      <c r="G9" s="1">
        <v>99041.41</v>
      </c>
    </row>
    <row r="10" spans="1:7" x14ac:dyDescent="0.3">
      <c r="A10" t="s">
        <v>90</v>
      </c>
      <c r="B10" s="1">
        <v>41138.199999999997</v>
      </c>
      <c r="C10" s="1">
        <v>51229.39</v>
      </c>
      <c r="D10" s="1">
        <v>51505.24</v>
      </c>
      <c r="E10" s="1">
        <v>51893.22</v>
      </c>
      <c r="F10" s="1">
        <v>52497.46</v>
      </c>
      <c r="G10" s="1">
        <v>53315.56</v>
      </c>
    </row>
    <row r="11" spans="1:7" x14ac:dyDescent="0.3">
      <c r="A11" t="s">
        <v>91</v>
      </c>
      <c r="B11" s="1">
        <v>2432.91</v>
      </c>
      <c r="C11" s="1">
        <v>3281.15</v>
      </c>
      <c r="D11" s="1">
        <v>3722.19</v>
      </c>
      <c r="E11" s="1">
        <v>3790.03</v>
      </c>
      <c r="F11" s="1">
        <v>3929.58</v>
      </c>
      <c r="G11" s="1">
        <v>4143.93</v>
      </c>
    </row>
    <row r="12" spans="1:7" x14ac:dyDescent="0.3">
      <c r="A12" t="s">
        <v>92</v>
      </c>
      <c r="B12" s="1">
        <v>640104.93999999994</v>
      </c>
      <c r="C12" s="1">
        <v>707306.08</v>
      </c>
      <c r="D12" s="1">
        <v>821971.55</v>
      </c>
      <c r="E12" s="1">
        <v>946945.2</v>
      </c>
      <c r="F12" s="1">
        <v>1068641.3899999999</v>
      </c>
      <c r="G12" s="1">
        <v>1172952.02</v>
      </c>
    </row>
    <row r="13" spans="1:7" x14ac:dyDescent="0.3">
      <c r="A13" t="s">
        <v>93</v>
      </c>
      <c r="B13" s="1">
        <v>90114.44</v>
      </c>
      <c r="C13" s="1">
        <v>113276.17</v>
      </c>
      <c r="D13" s="1">
        <v>127556.78</v>
      </c>
      <c r="E13" s="1">
        <v>149120.49</v>
      </c>
      <c r="F13" s="1">
        <v>157268.01999999999</v>
      </c>
      <c r="G13" s="1">
        <v>166798.68</v>
      </c>
    </row>
    <row r="14" spans="1:7" x14ac:dyDescent="0.3">
      <c r="A14" t="s">
        <v>94</v>
      </c>
      <c r="B14" s="1">
        <v>173591.62</v>
      </c>
      <c r="C14" s="1">
        <v>204472.53</v>
      </c>
      <c r="D14" s="1">
        <v>242449.25</v>
      </c>
      <c r="E14" s="1">
        <v>297415.96999999997</v>
      </c>
      <c r="F14" s="1">
        <v>302132.58</v>
      </c>
      <c r="G14" s="1">
        <v>311389.33</v>
      </c>
    </row>
    <row r="15" spans="1:7" x14ac:dyDescent="0.3">
      <c r="A15" t="s">
        <v>95</v>
      </c>
      <c r="B15" s="1">
        <v>376398.88</v>
      </c>
      <c r="C15" s="1">
        <v>389557.38</v>
      </c>
      <c r="D15" s="1">
        <v>451965.52</v>
      </c>
      <c r="E15" s="1">
        <v>500408.74</v>
      </c>
      <c r="F15" s="1">
        <v>609240.79</v>
      </c>
      <c r="G15" s="1">
        <v>694764.01</v>
      </c>
    </row>
    <row r="16" spans="1:7" x14ac:dyDescent="0.3">
      <c r="A16" t="s">
        <v>96</v>
      </c>
      <c r="B16" s="1">
        <v>147954.13</v>
      </c>
      <c r="C16" s="1">
        <v>142873.16</v>
      </c>
      <c r="D16" s="1">
        <v>185133.86</v>
      </c>
      <c r="E16" s="1">
        <v>186300.05</v>
      </c>
      <c r="F16" s="1">
        <v>196811.75</v>
      </c>
      <c r="G16" s="1">
        <v>184146.51</v>
      </c>
    </row>
    <row r="17" spans="1:7" x14ac:dyDescent="0.3">
      <c r="A17" t="s">
        <v>97</v>
      </c>
      <c r="B17">
        <v>50</v>
      </c>
      <c r="C17">
        <v>35.5</v>
      </c>
      <c r="E17">
        <v>5</v>
      </c>
      <c r="F17">
        <v>5</v>
      </c>
      <c r="G17">
        <v>720.17</v>
      </c>
    </row>
    <row r="18" spans="1:7" x14ac:dyDescent="0.3">
      <c r="A18" t="s">
        <v>98</v>
      </c>
      <c r="B18" s="1">
        <v>56319.21</v>
      </c>
      <c r="C18" s="1">
        <v>60222.559999999998</v>
      </c>
      <c r="D18" s="1">
        <v>95064.68</v>
      </c>
      <c r="E18" s="1">
        <v>117433.27</v>
      </c>
      <c r="F18" s="1">
        <v>137149.16</v>
      </c>
      <c r="G18" s="1">
        <v>126388.68</v>
      </c>
    </row>
    <row r="19" spans="1:7" x14ac:dyDescent="0.3">
      <c r="A19" t="s">
        <v>99</v>
      </c>
      <c r="B19" s="1">
        <v>7000</v>
      </c>
      <c r="C19" s="1">
        <v>7000</v>
      </c>
      <c r="D19" s="1">
        <v>3500</v>
      </c>
    </row>
    <row r="20" spans="1:7" x14ac:dyDescent="0.3">
      <c r="A20" t="s">
        <v>100</v>
      </c>
      <c r="B20" s="1">
        <v>55460.92</v>
      </c>
      <c r="C20" s="1">
        <v>40008.1</v>
      </c>
      <c r="D20" s="1">
        <v>54387.18</v>
      </c>
      <c r="E20" s="1">
        <v>37512.78</v>
      </c>
      <c r="F20" s="1">
        <v>36077.589999999997</v>
      </c>
      <c r="G20" s="1">
        <v>34307.660000000003</v>
      </c>
    </row>
    <row r="21" spans="1:7" x14ac:dyDescent="0.3">
      <c r="A21" t="s">
        <v>101</v>
      </c>
      <c r="B21" s="1">
        <v>17505</v>
      </c>
      <c r="C21" s="1">
        <v>17505</v>
      </c>
      <c r="D21" s="1">
        <v>14080</v>
      </c>
      <c r="E21" s="1">
        <v>23580</v>
      </c>
      <c r="F21" s="1">
        <v>23580</v>
      </c>
      <c r="G21" s="1">
        <v>22730</v>
      </c>
    </row>
    <row r="22" spans="1:7" x14ac:dyDescent="0.3">
      <c r="A22" t="s">
        <v>102</v>
      </c>
      <c r="B22" s="1">
        <v>11619</v>
      </c>
      <c r="C22" s="1">
        <v>18102</v>
      </c>
      <c r="D22" s="1">
        <v>18102</v>
      </c>
      <c r="E22" s="1">
        <v>7769</v>
      </c>
    </row>
    <row r="23" spans="1:7" x14ac:dyDescent="0.3">
      <c r="A23" t="s">
        <v>103</v>
      </c>
      <c r="B23">
        <v>57.54</v>
      </c>
      <c r="C23">
        <v>42.04</v>
      </c>
      <c r="D23">
        <v>196.48</v>
      </c>
      <c r="E23">
        <v>418.33</v>
      </c>
      <c r="F23">
        <v>684.31</v>
      </c>
      <c r="G23" s="1">
        <v>1288.06</v>
      </c>
    </row>
    <row r="24" spans="1:7" x14ac:dyDescent="0.3">
      <c r="A24" t="s">
        <v>104</v>
      </c>
      <c r="B24" s="1">
        <v>42157.91</v>
      </c>
      <c r="C24" s="1">
        <v>44336.17</v>
      </c>
      <c r="D24" s="1">
        <v>53149.29</v>
      </c>
      <c r="E24" s="1">
        <v>58663.62</v>
      </c>
      <c r="F24" s="1">
        <v>60693.87</v>
      </c>
      <c r="G24" s="1">
        <v>73106.210000000006</v>
      </c>
    </row>
    <row r="25" spans="1:7" x14ac:dyDescent="0.3">
      <c r="A25" t="s">
        <v>105</v>
      </c>
      <c r="B25" s="1">
        <v>34451.42</v>
      </c>
      <c r="C25" s="1">
        <v>33887.64</v>
      </c>
      <c r="D25" s="1">
        <v>45506.19</v>
      </c>
      <c r="E25" s="1">
        <v>49907.62</v>
      </c>
      <c r="F25" s="1">
        <v>54533.45</v>
      </c>
      <c r="G25" s="1">
        <v>65585.210000000006</v>
      </c>
    </row>
    <row r="26" spans="1:7" x14ac:dyDescent="0.3">
      <c r="A26" t="s">
        <v>106</v>
      </c>
      <c r="B26" s="1">
        <v>7706.49</v>
      </c>
      <c r="C26" s="1">
        <v>10448.530000000001</v>
      </c>
      <c r="D26" s="1">
        <v>7643.1</v>
      </c>
      <c r="E26" s="1">
        <v>8756</v>
      </c>
      <c r="F26" s="1">
        <v>6160.42</v>
      </c>
      <c r="G26" s="1">
        <v>7521</v>
      </c>
    </row>
    <row r="27" spans="1:7" x14ac:dyDescent="0.3">
      <c r="A27" t="s">
        <v>107</v>
      </c>
      <c r="B27" s="1">
        <v>915222.36</v>
      </c>
      <c r="C27" s="1">
        <v>996160.46</v>
      </c>
      <c r="D27" s="1">
        <v>1175625.24</v>
      </c>
      <c r="E27" s="1">
        <v>1317743.8500000001</v>
      </c>
      <c r="F27" s="1">
        <v>1477892.9</v>
      </c>
      <c r="G27" s="1">
        <v>1611217.9199999999</v>
      </c>
    </row>
    <row r="28" spans="1:7" x14ac:dyDescent="0.3">
      <c r="A28" t="s">
        <v>108</v>
      </c>
      <c r="B28" s="1">
        <v>3838.59</v>
      </c>
      <c r="C28" s="1">
        <v>4135.33</v>
      </c>
      <c r="D28" s="1">
        <v>4363.22</v>
      </c>
      <c r="E28" s="1">
        <v>4597.3999999999996</v>
      </c>
      <c r="F28" s="1">
        <v>5442.23</v>
      </c>
      <c r="G28" s="1">
        <v>6190.51</v>
      </c>
    </row>
    <row r="29" spans="1:7" x14ac:dyDescent="0.3">
      <c r="A29" t="s">
        <v>109</v>
      </c>
      <c r="B29">
        <v>530.85</v>
      </c>
      <c r="C29">
        <v>702.52</v>
      </c>
      <c r="D29">
        <v>981.89</v>
      </c>
      <c r="E29" s="1">
        <v>1119.95</v>
      </c>
      <c r="F29" s="1">
        <v>1323.42</v>
      </c>
      <c r="G29" s="1">
        <v>1774.75</v>
      </c>
    </row>
    <row r="30" spans="1:7" x14ac:dyDescent="0.3">
      <c r="A30" t="s">
        <v>110</v>
      </c>
      <c r="B30" s="1">
        <v>1646.02</v>
      </c>
      <c r="C30" s="1">
        <v>1618.19</v>
      </c>
      <c r="D30" s="1">
        <v>1624.63</v>
      </c>
      <c r="E30" s="1">
        <v>1597.13</v>
      </c>
      <c r="F30" s="1">
        <v>1717.95</v>
      </c>
      <c r="G30" s="1">
        <v>1689.75</v>
      </c>
    </row>
    <row r="31" spans="1:7" x14ac:dyDescent="0.3">
      <c r="A31" t="s">
        <v>111</v>
      </c>
      <c r="B31">
        <v>474.31</v>
      </c>
      <c r="C31">
        <v>109.7</v>
      </c>
      <c r="D31">
        <v>209.13</v>
      </c>
      <c r="E31">
        <v>136.44999999999999</v>
      </c>
      <c r="F31">
        <v>242.35</v>
      </c>
      <c r="G31">
        <v>101.19</v>
      </c>
    </row>
    <row r="32" spans="1:7" x14ac:dyDescent="0.3">
      <c r="A32" t="s">
        <v>112</v>
      </c>
      <c r="B32" s="1">
        <v>156734.31</v>
      </c>
      <c r="C32" s="1">
        <v>226119.62</v>
      </c>
      <c r="D32" s="1">
        <v>275597.21000000002</v>
      </c>
      <c r="E32" s="1">
        <v>288814.83</v>
      </c>
      <c r="F32" s="1">
        <v>331527.24</v>
      </c>
      <c r="G32" s="1">
        <v>396141.8</v>
      </c>
    </row>
    <row r="33" spans="1:7" x14ac:dyDescent="0.3">
      <c r="A33" t="s">
        <v>113</v>
      </c>
      <c r="B33" s="1">
        <v>3448.06</v>
      </c>
      <c r="C33" s="1">
        <v>3513.05</v>
      </c>
      <c r="D33" s="1">
        <v>4306.92</v>
      </c>
      <c r="E33" s="1">
        <v>4712.59</v>
      </c>
      <c r="F33" s="1">
        <v>4960.95</v>
      </c>
      <c r="G33" s="1">
        <v>9065.4500000000007</v>
      </c>
    </row>
    <row r="34" spans="1:7" x14ac:dyDescent="0.3">
      <c r="A34" t="s">
        <v>114</v>
      </c>
      <c r="B34" s="1">
        <v>146534.46</v>
      </c>
      <c r="C34" s="1">
        <v>218921.26</v>
      </c>
      <c r="D34" s="1">
        <v>269667.74</v>
      </c>
      <c r="E34" s="1">
        <v>282518.46000000002</v>
      </c>
      <c r="F34" s="1">
        <v>321670.12</v>
      </c>
      <c r="G34" s="1">
        <v>381034.89</v>
      </c>
    </row>
    <row r="35" spans="1:7" x14ac:dyDescent="0.3">
      <c r="A35" t="s">
        <v>115</v>
      </c>
      <c r="B35" s="1">
        <v>7312.51</v>
      </c>
      <c r="C35" s="1">
        <v>7561.81</v>
      </c>
      <c r="D35" s="1">
        <v>7558.32</v>
      </c>
      <c r="E35" s="1">
        <v>6744.89</v>
      </c>
      <c r="F35" s="1">
        <v>5996.61</v>
      </c>
      <c r="G35" s="1">
        <v>5729.07</v>
      </c>
    </row>
    <row r="36" spans="1:7" x14ac:dyDescent="0.3">
      <c r="A36" t="s">
        <v>116</v>
      </c>
      <c r="B36" s="1">
        <v>127440.23</v>
      </c>
      <c r="C36" s="1">
        <v>86788</v>
      </c>
      <c r="D36" s="1">
        <v>137565.64000000001</v>
      </c>
      <c r="E36" s="1">
        <v>140970.63</v>
      </c>
      <c r="F36" s="1">
        <v>147980.88</v>
      </c>
      <c r="G36" s="1">
        <v>146688.22</v>
      </c>
    </row>
    <row r="37" spans="1:7" x14ac:dyDescent="0.3">
      <c r="A37" t="s">
        <v>117</v>
      </c>
      <c r="B37" s="1">
        <v>97268.28</v>
      </c>
      <c r="C37" s="1">
        <v>61729.82</v>
      </c>
      <c r="D37" s="1">
        <v>110987.13</v>
      </c>
      <c r="E37" s="1">
        <v>106410.8</v>
      </c>
      <c r="F37" s="1">
        <v>114454.38</v>
      </c>
      <c r="G37" s="1">
        <v>99732.08</v>
      </c>
    </row>
    <row r="38" spans="1:7" x14ac:dyDescent="0.3">
      <c r="A38" t="s">
        <v>118</v>
      </c>
      <c r="B38">
        <v>0.11</v>
      </c>
      <c r="C38">
        <v>0.46</v>
      </c>
      <c r="D38">
        <v>0.63</v>
      </c>
      <c r="E38">
        <v>1.33</v>
      </c>
      <c r="F38">
        <v>2.76</v>
      </c>
      <c r="G38">
        <v>3.46</v>
      </c>
    </row>
    <row r="39" spans="1:7" x14ac:dyDescent="0.3">
      <c r="A39" t="s">
        <v>119</v>
      </c>
      <c r="B39" s="1">
        <v>30171.84</v>
      </c>
      <c r="C39" s="1">
        <v>25057.72</v>
      </c>
      <c r="D39" s="1">
        <v>26577.88</v>
      </c>
      <c r="E39" s="1">
        <v>34558.5</v>
      </c>
      <c r="F39" s="1">
        <v>33523.74</v>
      </c>
      <c r="G39" s="1">
        <v>46952.68</v>
      </c>
    </row>
    <row r="40" spans="1:7" x14ac:dyDescent="0.3">
      <c r="A40" t="s">
        <v>120</v>
      </c>
      <c r="B40" s="1">
        <v>571424.16</v>
      </c>
      <c r="C40" s="1">
        <v>623720.18999999994</v>
      </c>
      <c r="D40" s="1">
        <v>707946.59</v>
      </c>
      <c r="E40" s="1">
        <v>845302.84</v>
      </c>
      <c r="F40" s="1">
        <v>965068.39</v>
      </c>
      <c r="G40" s="1">
        <v>1040811.31</v>
      </c>
    </row>
    <row r="41" spans="1:7" x14ac:dyDescent="0.3">
      <c r="A41" t="s">
        <v>121</v>
      </c>
      <c r="B41" s="1">
        <v>3838.59</v>
      </c>
      <c r="C41" s="1">
        <v>4135.33</v>
      </c>
      <c r="D41" s="1">
        <v>4363.22</v>
      </c>
      <c r="E41" s="1">
        <v>4597.3999999999996</v>
      </c>
      <c r="F41" s="1">
        <v>5442.23</v>
      </c>
      <c r="G41" s="1">
        <v>6190.51</v>
      </c>
    </row>
    <row r="42" spans="1:7" x14ac:dyDescent="0.3">
      <c r="A42" t="s">
        <v>122</v>
      </c>
      <c r="B42" s="1">
        <v>84416.99</v>
      </c>
      <c r="C42" s="1">
        <v>100900.49</v>
      </c>
      <c r="D42" s="1">
        <v>114192.17</v>
      </c>
      <c r="E42" s="1">
        <v>124296.7</v>
      </c>
      <c r="F42" s="1">
        <v>149738.16</v>
      </c>
      <c r="G42" s="1">
        <v>177950.37</v>
      </c>
    </row>
    <row r="43" spans="1:7" x14ac:dyDescent="0.3">
      <c r="A43" t="s">
        <v>123</v>
      </c>
      <c r="B43" s="1">
        <v>190169.58</v>
      </c>
      <c r="C43" s="1">
        <v>187251.37</v>
      </c>
      <c r="D43" s="1">
        <v>238479.63</v>
      </c>
      <c r="E43" s="1">
        <v>245382</v>
      </c>
      <c r="F43" s="1">
        <v>258189.93</v>
      </c>
      <c r="G43" s="1">
        <v>258540.78</v>
      </c>
    </row>
    <row r="46" spans="1:7" x14ac:dyDescent="0.3">
      <c r="A46" s="2" t="s">
        <v>151</v>
      </c>
      <c r="B46" s="3" t="s">
        <v>75</v>
      </c>
      <c r="C46" s="3" t="s">
        <v>76</v>
      </c>
      <c r="D46" s="3" t="s">
        <v>77</v>
      </c>
      <c r="E46" s="3" t="s">
        <v>78</v>
      </c>
      <c r="F46" s="3" t="s">
        <v>79</v>
      </c>
      <c r="G46" s="3" t="s">
        <v>80</v>
      </c>
    </row>
    <row r="47" spans="1:7" x14ac:dyDescent="0.3">
      <c r="A47" t="s">
        <v>124</v>
      </c>
      <c r="B47" s="1">
        <v>3838.59</v>
      </c>
      <c r="C47" s="1">
        <v>4135.33</v>
      </c>
      <c r="D47" s="1">
        <v>4363.22</v>
      </c>
      <c r="E47" s="1">
        <v>4597.3999999999996</v>
      </c>
      <c r="F47" s="1">
        <v>5442.23</v>
      </c>
      <c r="G47" s="1">
        <v>6190.51</v>
      </c>
    </row>
    <row r="48" spans="1:7" x14ac:dyDescent="0.3">
      <c r="A48" t="s">
        <v>125</v>
      </c>
      <c r="B48">
        <v>530.85</v>
      </c>
      <c r="C48">
        <v>702.52</v>
      </c>
      <c r="D48">
        <v>981.89</v>
      </c>
      <c r="E48" s="1">
        <v>1119.95</v>
      </c>
      <c r="F48" s="1">
        <v>1323.42</v>
      </c>
      <c r="G48" s="1">
        <v>1774.75</v>
      </c>
    </row>
    <row r="49" spans="1:7" x14ac:dyDescent="0.3">
      <c r="A49" t="s">
        <v>126</v>
      </c>
      <c r="B49" s="1">
        <v>1646.02</v>
      </c>
      <c r="C49" s="1">
        <v>1618.19</v>
      </c>
      <c r="D49" s="1">
        <v>1624.63</v>
      </c>
      <c r="E49" s="1">
        <v>1597.13</v>
      </c>
      <c r="F49" s="1">
        <v>1717.95</v>
      </c>
      <c r="G49" s="1">
        <v>1689.75</v>
      </c>
    </row>
    <row r="50" spans="1:7" x14ac:dyDescent="0.3">
      <c r="A50" t="s">
        <v>127</v>
      </c>
      <c r="B50" s="1">
        <v>1661.72</v>
      </c>
      <c r="C50" s="1">
        <v>1814.62</v>
      </c>
      <c r="D50" s="1">
        <v>1756.7</v>
      </c>
      <c r="E50" s="1">
        <v>1880.32</v>
      </c>
      <c r="F50" s="1">
        <v>2400.86</v>
      </c>
      <c r="G50" s="1">
        <v>2726.01</v>
      </c>
    </row>
    <row r="51" spans="1:7" x14ac:dyDescent="0.3">
      <c r="A51" t="s">
        <v>128</v>
      </c>
      <c r="B51">
        <v>474.31</v>
      </c>
      <c r="C51">
        <v>109.7</v>
      </c>
      <c r="D51">
        <v>209.13</v>
      </c>
      <c r="E51">
        <v>136.44999999999999</v>
      </c>
      <c r="F51">
        <v>242.35</v>
      </c>
      <c r="G51">
        <v>101.19</v>
      </c>
    </row>
    <row r="52" spans="1:7" x14ac:dyDescent="0.3">
      <c r="A52" t="s">
        <v>129</v>
      </c>
      <c r="B52" s="1">
        <v>156734.31</v>
      </c>
      <c r="C52" s="1">
        <v>226119.62</v>
      </c>
      <c r="D52" s="1">
        <v>275597.21000000002</v>
      </c>
      <c r="E52" s="1">
        <v>288814.83</v>
      </c>
      <c r="F52" s="1">
        <v>331527.24</v>
      </c>
      <c r="G52" s="1">
        <v>396141.8</v>
      </c>
    </row>
    <row r="53" spans="1:7" x14ac:dyDescent="0.3">
      <c r="A53" t="s">
        <v>130</v>
      </c>
      <c r="B53" s="1">
        <v>3448.06</v>
      </c>
      <c r="C53" s="1">
        <v>3513.05</v>
      </c>
      <c r="D53" s="1">
        <v>4306.92</v>
      </c>
      <c r="E53" s="1">
        <v>4712.59</v>
      </c>
      <c r="F53" s="1">
        <v>4960.95</v>
      </c>
      <c r="G53" s="1">
        <v>9065.4500000000007</v>
      </c>
    </row>
    <row r="54" spans="1:7" x14ac:dyDescent="0.3">
      <c r="A54" t="s">
        <v>131</v>
      </c>
      <c r="B54" s="1">
        <v>146534.46</v>
      </c>
      <c r="C54" s="1">
        <v>218921.26</v>
      </c>
      <c r="D54" s="1">
        <v>269667.74</v>
      </c>
      <c r="E54" s="1">
        <v>282518.46000000002</v>
      </c>
      <c r="F54" s="1">
        <v>321670.12</v>
      </c>
      <c r="G54" s="1">
        <v>381034.89</v>
      </c>
    </row>
    <row r="55" spans="1:7" x14ac:dyDescent="0.3">
      <c r="A55" t="s">
        <v>132</v>
      </c>
      <c r="B55" s="1">
        <v>20552.91</v>
      </c>
      <c r="C55" s="1">
        <v>34731.199999999997</v>
      </c>
      <c r="D55" s="1">
        <v>44904.83</v>
      </c>
      <c r="E55" s="1">
        <v>54764.26</v>
      </c>
      <c r="F55" s="1">
        <v>73853.7</v>
      </c>
      <c r="G55" s="1">
        <v>72959.38</v>
      </c>
    </row>
    <row r="56" spans="1:7" x14ac:dyDescent="0.3">
      <c r="A56" t="s">
        <v>133</v>
      </c>
      <c r="B56" s="1">
        <v>125981.55</v>
      </c>
      <c r="C56" s="1">
        <v>184190.06</v>
      </c>
      <c r="D56" s="1">
        <v>224762.91</v>
      </c>
      <c r="E56" s="1">
        <v>227754.2</v>
      </c>
      <c r="F56" s="1">
        <v>247816.42</v>
      </c>
      <c r="G56" s="1">
        <v>308075.51</v>
      </c>
    </row>
    <row r="57" spans="1:7" x14ac:dyDescent="0.3">
      <c r="A57" t="s">
        <v>134</v>
      </c>
      <c r="B57" s="1">
        <v>6751.79</v>
      </c>
      <c r="C57" s="1">
        <v>3685.31</v>
      </c>
      <c r="D57" s="1">
        <v>1622.55</v>
      </c>
      <c r="E57" s="1">
        <v>1583.78</v>
      </c>
      <c r="F57" s="1">
        <v>4896.17</v>
      </c>
      <c r="G57" s="1">
        <v>6041.46</v>
      </c>
    </row>
    <row r="58" spans="1:7" x14ac:dyDescent="0.3">
      <c r="A58" t="s">
        <v>135</v>
      </c>
      <c r="B58" s="1">
        <v>127440.23</v>
      </c>
      <c r="C58" s="1">
        <v>86788</v>
      </c>
      <c r="D58" s="1">
        <v>137565.64000000001</v>
      </c>
      <c r="E58" s="1">
        <v>140970.63</v>
      </c>
      <c r="F58" s="1">
        <v>147980.88</v>
      </c>
      <c r="G58" s="1">
        <v>146688.22</v>
      </c>
    </row>
    <row r="59" spans="1:7" x14ac:dyDescent="0.3">
      <c r="A59" t="s">
        <v>136</v>
      </c>
      <c r="B59">
        <v>0.11</v>
      </c>
      <c r="C59">
        <v>0.46</v>
      </c>
      <c r="D59">
        <v>0.63</v>
      </c>
      <c r="E59">
        <v>1.33</v>
      </c>
      <c r="F59">
        <v>2.76</v>
      </c>
      <c r="G59">
        <v>3.46</v>
      </c>
    </row>
    <row r="60" spans="1:7" x14ac:dyDescent="0.3">
      <c r="A60" t="s">
        <v>137</v>
      </c>
      <c r="B60">
        <v>0.11</v>
      </c>
      <c r="C60">
        <v>0.46</v>
      </c>
      <c r="D60">
        <v>0.63</v>
      </c>
      <c r="E60">
        <v>1.33</v>
      </c>
      <c r="F60">
        <v>2.76</v>
      </c>
      <c r="G60">
        <v>3.46</v>
      </c>
    </row>
    <row r="61" spans="1:7" x14ac:dyDescent="0.3">
      <c r="A61" t="s">
        <v>138</v>
      </c>
      <c r="B61" s="1">
        <v>30171.84</v>
      </c>
      <c r="C61" s="1">
        <v>25057.72</v>
      </c>
      <c r="D61" s="1">
        <v>26577.88</v>
      </c>
      <c r="E61" s="1">
        <v>34558.5</v>
      </c>
      <c r="F61" s="1">
        <v>33523.74</v>
      </c>
      <c r="G61" s="1">
        <v>46952.68</v>
      </c>
    </row>
    <row r="62" spans="1:7" x14ac:dyDescent="0.3">
      <c r="A62" t="s">
        <v>139</v>
      </c>
      <c r="B62" s="1">
        <v>7152.88</v>
      </c>
      <c r="C62" s="1">
        <v>8091.53</v>
      </c>
      <c r="D62" s="1">
        <v>8464.93</v>
      </c>
      <c r="E62" s="1">
        <v>10064.64</v>
      </c>
      <c r="F62" s="1">
        <v>11437.46</v>
      </c>
      <c r="G62" s="1">
        <v>13969.68</v>
      </c>
    </row>
    <row r="63" spans="1:7" x14ac:dyDescent="0.3">
      <c r="A63" t="s">
        <v>140</v>
      </c>
      <c r="B63" s="1">
        <v>23018.959999999999</v>
      </c>
      <c r="C63" s="1">
        <v>16966.189999999999</v>
      </c>
      <c r="D63" s="1">
        <v>18112.95</v>
      </c>
      <c r="E63" s="1">
        <v>24493.86</v>
      </c>
      <c r="F63" s="1">
        <v>22086.28</v>
      </c>
      <c r="G63" s="1">
        <v>32983</v>
      </c>
    </row>
    <row r="64" spans="1:7" x14ac:dyDescent="0.3">
      <c r="A64" t="s">
        <v>141</v>
      </c>
      <c r="B64" s="1">
        <v>97268.28</v>
      </c>
      <c r="C64" s="1">
        <v>61729.82</v>
      </c>
      <c r="D64" s="1">
        <v>110987.13</v>
      </c>
      <c r="E64" s="1">
        <v>106410.8</v>
      </c>
      <c r="F64" s="1">
        <v>114454.38</v>
      </c>
      <c r="G64" s="1">
        <v>99732.08</v>
      </c>
    </row>
    <row r="65" spans="1:7" x14ac:dyDescent="0.3">
      <c r="A65" t="s">
        <v>142</v>
      </c>
      <c r="B65" s="1">
        <v>7987.9</v>
      </c>
      <c r="C65" s="1">
        <v>12673.15</v>
      </c>
      <c r="D65" s="1">
        <v>9840.09</v>
      </c>
      <c r="E65" s="1">
        <v>9665.8799999999992</v>
      </c>
      <c r="F65" s="1">
        <v>9634.81</v>
      </c>
      <c r="G65" s="1">
        <v>8073.93</v>
      </c>
    </row>
    <row r="66" spans="1:7" x14ac:dyDescent="0.3">
      <c r="A66" t="s">
        <v>143</v>
      </c>
      <c r="B66" s="1">
        <v>89280.38</v>
      </c>
      <c r="C66" s="1">
        <v>49056.67</v>
      </c>
      <c r="D66" s="1">
        <v>100348.55</v>
      </c>
      <c r="E66" s="1">
        <v>85784.68</v>
      </c>
      <c r="F66" s="1">
        <v>98669.8</v>
      </c>
      <c r="G66" s="1">
        <v>87153.84</v>
      </c>
    </row>
    <row r="67" spans="1:7" x14ac:dyDescent="0.3">
      <c r="A67" t="s">
        <v>144</v>
      </c>
      <c r="B67" s="1">
        <v>571424.16</v>
      </c>
      <c r="C67" s="1">
        <v>623720.18999999994</v>
      </c>
      <c r="D67" s="1">
        <v>707946.59</v>
      </c>
      <c r="E67" s="1">
        <v>845302.84</v>
      </c>
      <c r="F67" s="1">
        <v>965068.39</v>
      </c>
      <c r="G67" s="1">
        <v>1040811.31</v>
      </c>
    </row>
    <row r="68" spans="1:7" x14ac:dyDescent="0.3">
      <c r="A68" t="s">
        <v>145</v>
      </c>
      <c r="B68" s="1">
        <v>399050.49</v>
      </c>
      <c r="C68" s="1">
        <v>439151.08</v>
      </c>
      <c r="D68" s="1">
        <v>483942.74</v>
      </c>
      <c r="E68" s="1">
        <v>584131.5</v>
      </c>
      <c r="F68" s="1">
        <v>675110.25</v>
      </c>
      <c r="G68" s="1">
        <v>700413.55</v>
      </c>
    </row>
    <row r="69" spans="1:7" x14ac:dyDescent="0.3">
      <c r="A69" t="s">
        <v>146</v>
      </c>
      <c r="B69" s="1">
        <v>172373.67</v>
      </c>
      <c r="C69" s="1">
        <v>184569.11</v>
      </c>
      <c r="D69" s="1">
        <v>224003.85</v>
      </c>
      <c r="E69" s="1">
        <v>261171.34</v>
      </c>
      <c r="F69" s="1">
        <v>289958.14</v>
      </c>
      <c r="G69" s="1">
        <v>340397.76</v>
      </c>
    </row>
    <row r="70" spans="1:7" x14ac:dyDescent="0.3">
      <c r="A70" t="s">
        <v>147</v>
      </c>
      <c r="B70" s="1">
        <v>47998.25</v>
      </c>
      <c r="C70" s="1">
        <v>47725.81</v>
      </c>
      <c r="D70" s="1">
        <v>42385.13</v>
      </c>
      <c r="E70" s="1">
        <v>31176.81</v>
      </c>
      <c r="F70" s="1">
        <v>21635.200000000001</v>
      </c>
      <c r="G70" s="1">
        <v>15555.82</v>
      </c>
    </row>
    <row r="71" spans="1:7" x14ac:dyDescent="0.3">
      <c r="A71" t="s">
        <v>148</v>
      </c>
      <c r="B71" s="1">
        <v>46462.92</v>
      </c>
      <c r="C71" s="1">
        <v>46885.68</v>
      </c>
      <c r="D71" s="1">
        <v>41653.61</v>
      </c>
      <c r="E71" s="1">
        <v>30564.2</v>
      </c>
      <c r="F71" s="1">
        <v>21557.1</v>
      </c>
      <c r="G71" s="1">
        <v>14450.47</v>
      </c>
    </row>
    <row r="72" spans="1:7" x14ac:dyDescent="0.3">
      <c r="A72" t="s">
        <v>149</v>
      </c>
      <c r="B72" s="1">
        <v>1535.33</v>
      </c>
      <c r="C72">
        <v>840.13</v>
      </c>
      <c r="D72">
        <v>731.52</v>
      </c>
      <c r="E72">
        <v>612.61</v>
      </c>
      <c r="F72">
        <v>78.099999999999994</v>
      </c>
      <c r="G72" s="1">
        <v>1105.3499999999999</v>
      </c>
    </row>
    <row r="73" spans="1:7" x14ac:dyDescent="0.3">
      <c r="A73" t="s">
        <v>150</v>
      </c>
      <c r="B73" s="1">
        <v>7312.51</v>
      </c>
      <c r="C73" s="1">
        <v>7561.81</v>
      </c>
      <c r="D73" s="1">
        <v>7558.32</v>
      </c>
      <c r="E73" s="1">
        <v>6744.89</v>
      </c>
      <c r="F73" s="1">
        <v>5996.61</v>
      </c>
      <c r="G73" s="1">
        <v>5729.07</v>
      </c>
    </row>
    <row r="74" spans="1:7" x14ac:dyDescent="0.3">
      <c r="A74" t="s">
        <v>107</v>
      </c>
      <c r="B74" s="1">
        <v>915222.36</v>
      </c>
      <c r="C74" s="1">
        <v>996160.46</v>
      </c>
      <c r="D74" s="1">
        <v>1175625.24</v>
      </c>
      <c r="E74" s="1">
        <v>1317743.8500000001</v>
      </c>
      <c r="F74" s="1">
        <v>1477892.9</v>
      </c>
      <c r="G74" s="1">
        <v>1611217.9199999999</v>
      </c>
    </row>
    <row r="77" spans="1:7" s="2" customFormat="1" x14ac:dyDescent="0.3">
      <c r="A77" s="2" t="s">
        <v>74</v>
      </c>
      <c r="B77" s="3" t="s">
        <v>75</v>
      </c>
      <c r="C77" s="3" t="s">
        <v>76</v>
      </c>
      <c r="D77" s="3" t="s">
        <v>77</v>
      </c>
      <c r="E77" s="3" t="s">
        <v>78</v>
      </c>
      <c r="F77" s="3" t="s">
        <v>79</v>
      </c>
      <c r="G77" s="3" t="s">
        <v>80</v>
      </c>
    </row>
    <row r="78" spans="1:7" x14ac:dyDescent="0.3">
      <c r="A78" t="s">
        <v>152</v>
      </c>
      <c r="B78" s="1">
        <v>640104.93999999994</v>
      </c>
      <c r="C78" s="1">
        <v>707306.08</v>
      </c>
      <c r="D78" s="1">
        <v>821971.55</v>
      </c>
      <c r="E78" s="1">
        <v>946945.2</v>
      </c>
      <c r="F78" s="1">
        <v>1068641.3899999999</v>
      </c>
      <c r="G78" s="1">
        <v>1172952.02</v>
      </c>
    </row>
    <row r="79" spans="1:7" x14ac:dyDescent="0.3">
      <c r="A79" t="s">
        <v>153</v>
      </c>
      <c r="B79" s="1">
        <v>90114.44</v>
      </c>
      <c r="C79" s="1">
        <v>113276.17</v>
      </c>
      <c r="D79" s="1">
        <v>127556.78</v>
      </c>
      <c r="E79" s="1">
        <v>149120.49</v>
      </c>
      <c r="F79" s="1">
        <v>157268.01999999999</v>
      </c>
      <c r="G79" s="1">
        <v>166798.68</v>
      </c>
    </row>
    <row r="80" spans="1:7" x14ac:dyDescent="0.3">
      <c r="A80" t="s">
        <v>154</v>
      </c>
      <c r="B80" s="1">
        <v>3888.83</v>
      </c>
      <c r="C80" s="1">
        <v>5145.51</v>
      </c>
      <c r="D80" s="1">
        <v>4792.6400000000003</v>
      </c>
      <c r="E80" s="1">
        <v>4760.09</v>
      </c>
      <c r="F80" s="1">
        <v>4695.32</v>
      </c>
      <c r="G80" s="1">
        <v>4184.17</v>
      </c>
    </row>
    <row r="81" spans="1:7" x14ac:dyDescent="0.3">
      <c r="A81" t="s">
        <v>155</v>
      </c>
      <c r="B81" s="1">
        <v>86225.61</v>
      </c>
      <c r="C81" s="1">
        <v>108130.66</v>
      </c>
      <c r="D81" s="1">
        <v>122764.14</v>
      </c>
      <c r="E81" s="1">
        <v>144360.4</v>
      </c>
      <c r="F81" s="1">
        <v>152572.70000000001</v>
      </c>
      <c r="G81" s="1">
        <v>162614.51</v>
      </c>
    </row>
    <row r="82" spans="1:7" x14ac:dyDescent="0.3">
      <c r="A82" t="s">
        <v>156</v>
      </c>
      <c r="B82" s="1">
        <v>173591.62</v>
      </c>
      <c r="C82" s="1">
        <v>204472.53</v>
      </c>
      <c r="D82" s="1">
        <v>242449.25</v>
      </c>
      <c r="E82" s="1">
        <v>297415.96999999997</v>
      </c>
      <c r="F82" s="1">
        <v>302132.58</v>
      </c>
      <c r="G82" s="1">
        <v>311389.33</v>
      </c>
    </row>
    <row r="83" spans="1:7" x14ac:dyDescent="0.3">
      <c r="A83" t="s">
        <v>157</v>
      </c>
      <c r="B83" s="1">
        <v>376398.88</v>
      </c>
      <c r="C83" s="1">
        <v>389557.38</v>
      </c>
      <c r="D83" s="1">
        <v>451965.52</v>
      </c>
      <c r="E83" s="1">
        <v>500408.74</v>
      </c>
      <c r="F83" s="1">
        <v>609240.79</v>
      </c>
      <c r="G83" s="1">
        <v>694764.01</v>
      </c>
    </row>
    <row r="84" spans="1:7" x14ac:dyDescent="0.3">
      <c r="A84" t="s">
        <v>158</v>
      </c>
      <c r="B84" s="1">
        <v>34321.83</v>
      </c>
      <c r="C84" s="1">
        <v>23159.59</v>
      </c>
      <c r="D84" s="1">
        <v>21824.13</v>
      </c>
      <c r="E84" s="1">
        <v>36777.64</v>
      </c>
      <c r="F84" s="1">
        <v>43698.36</v>
      </c>
      <c r="G84" s="1">
        <v>45851.59</v>
      </c>
    </row>
    <row r="85" spans="1:7" x14ac:dyDescent="0.3">
      <c r="A85" t="s">
        <v>159</v>
      </c>
      <c r="B85" s="1">
        <v>342077.05</v>
      </c>
      <c r="C85" s="1">
        <v>366397.79</v>
      </c>
      <c r="D85" s="1">
        <v>430141.39</v>
      </c>
      <c r="E85" s="1">
        <v>463631.1</v>
      </c>
      <c r="F85" s="1">
        <v>565542.43000000005</v>
      </c>
      <c r="G85" s="1">
        <v>648912.42000000004</v>
      </c>
    </row>
    <row r="86" spans="1:7" x14ac:dyDescent="0.3">
      <c r="A86" t="s">
        <v>160</v>
      </c>
      <c r="B86" s="1">
        <v>635769.65</v>
      </c>
      <c r="C86" s="1">
        <v>695898.54</v>
      </c>
      <c r="D86" s="1">
        <v>819533.51</v>
      </c>
      <c r="E86" s="1">
        <v>932623.34</v>
      </c>
      <c r="F86" s="1">
        <v>1053677.8600000001</v>
      </c>
      <c r="G86" s="1">
        <v>1142929.08</v>
      </c>
    </row>
    <row r="87" spans="1:7" x14ac:dyDescent="0.3">
      <c r="A87" t="s">
        <v>161</v>
      </c>
      <c r="B87" s="1">
        <v>4335.29</v>
      </c>
      <c r="C87" s="1">
        <v>2086.75</v>
      </c>
      <c r="D87" s="1">
        <v>2438.04</v>
      </c>
      <c r="E87" s="1">
        <v>14321.87</v>
      </c>
      <c r="F87" s="1">
        <v>14963.53</v>
      </c>
      <c r="G87" s="1">
        <v>30022.94</v>
      </c>
    </row>
    <row r="88" spans="1:7" x14ac:dyDescent="0.3">
      <c r="A88" t="s">
        <v>162</v>
      </c>
      <c r="B88" s="1">
        <v>147954.13</v>
      </c>
      <c r="C88" s="1">
        <v>142873.16</v>
      </c>
      <c r="D88" s="1">
        <v>185133.86</v>
      </c>
      <c r="E88" s="1">
        <v>186300.05</v>
      </c>
      <c r="F88" s="1">
        <v>196811.75</v>
      </c>
      <c r="G88" s="1">
        <v>184146.51</v>
      </c>
    </row>
    <row r="89" spans="1:7" x14ac:dyDescent="0.3">
      <c r="A89" t="s">
        <v>163</v>
      </c>
      <c r="B89">
        <v>50</v>
      </c>
      <c r="C89">
        <v>35.5</v>
      </c>
      <c r="E89">
        <v>5</v>
      </c>
      <c r="F89">
        <v>5</v>
      </c>
      <c r="G89">
        <v>720.17</v>
      </c>
    </row>
    <row r="90" spans="1:7" x14ac:dyDescent="0.3">
      <c r="A90" t="s">
        <v>164</v>
      </c>
    </row>
    <row r="91" spans="1:7" x14ac:dyDescent="0.3">
      <c r="A91" t="s">
        <v>165</v>
      </c>
      <c r="B91">
        <v>50</v>
      </c>
      <c r="C91">
        <v>35.5</v>
      </c>
      <c r="E91">
        <v>5</v>
      </c>
      <c r="F91">
        <v>5</v>
      </c>
      <c r="G91">
        <v>720.17</v>
      </c>
    </row>
    <row r="92" spans="1:7" x14ac:dyDescent="0.3">
      <c r="A92" t="s">
        <v>166</v>
      </c>
      <c r="B92" s="1">
        <v>56319.21</v>
      </c>
      <c r="C92" s="1">
        <v>60222.559999999998</v>
      </c>
      <c r="D92" s="1">
        <v>95064.68</v>
      </c>
      <c r="E92" s="1">
        <v>117433.27</v>
      </c>
      <c r="F92" s="1">
        <v>137149.16</v>
      </c>
      <c r="G92" s="1">
        <v>126388.68</v>
      </c>
    </row>
    <row r="93" spans="1:7" x14ac:dyDescent="0.3">
      <c r="A93" t="s">
        <v>167</v>
      </c>
    </row>
    <row r="94" spans="1:7" x14ac:dyDescent="0.3">
      <c r="A94" t="s">
        <v>168</v>
      </c>
      <c r="B94" s="1">
        <v>56319.21</v>
      </c>
      <c r="C94" s="1">
        <v>60222.559999999998</v>
      </c>
      <c r="D94" s="1">
        <v>95064.68</v>
      </c>
      <c r="E94" s="1">
        <v>117433.27</v>
      </c>
      <c r="F94" s="1">
        <v>137149.16</v>
      </c>
      <c r="G94" s="1">
        <v>126388.68</v>
      </c>
    </row>
    <row r="95" spans="1:7" x14ac:dyDescent="0.3">
      <c r="A95" t="s">
        <v>169</v>
      </c>
      <c r="B95" s="1">
        <v>7000</v>
      </c>
      <c r="C95" s="1">
        <v>7000</v>
      </c>
      <c r="D95" s="1">
        <v>3500</v>
      </c>
    </row>
    <row r="96" spans="1:7" x14ac:dyDescent="0.3">
      <c r="A96" t="s">
        <v>170</v>
      </c>
      <c r="B96" s="1">
        <v>7000</v>
      </c>
      <c r="C96" s="1">
        <v>7000</v>
      </c>
      <c r="D96" s="1">
        <v>3500</v>
      </c>
    </row>
    <row r="97" spans="1:7" x14ac:dyDescent="0.3">
      <c r="A97" t="s">
        <v>171</v>
      </c>
      <c r="B97" s="1">
        <v>55460.92</v>
      </c>
      <c r="C97" s="1">
        <v>40008.1</v>
      </c>
      <c r="D97" s="1">
        <v>54387.18</v>
      </c>
      <c r="E97" s="1">
        <v>37512.78</v>
      </c>
      <c r="F97" s="1">
        <v>36077.589999999997</v>
      </c>
      <c r="G97" s="1">
        <v>34307.660000000003</v>
      </c>
    </row>
    <row r="98" spans="1:7" x14ac:dyDescent="0.3">
      <c r="A98" t="s">
        <v>172</v>
      </c>
      <c r="B98" s="1">
        <v>55460.92</v>
      </c>
      <c r="C98" s="1">
        <v>40008.1</v>
      </c>
      <c r="D98" s="1">
        <v>54387.18</v>
      </c>
      <c r="E98" s="1">
        <v>37512.78</v>
      </c>
      <c r="F98" s="1">
        <v>36077.589999999997</v>
      </c>
      <c r="G98" s="1">
        <v>34307.660000000003</v>
      </c>
    </row>
    <row r="99" spans="1:7" x14ac:dyDescent="0.3">
      <c r="A99" t="s">
        <v>173</v>
      </c>
      <c r="B99" s="1">
        <v>17505</v>
      </c>
      <c r="C99" s="1">
        <v>17505</v>
      </c>
      <c r="D99" s="1">
        <v>14080</v>
      </c>
      <c r="E99" s="1">
        <v>23580</v>
      </c>
      <c r="F99" s="1">
        <v>23580</v>
      </c>
      <c r="G99" s="1">
        <v>22730</v>
      </c>
    </row>
    <row r="100" spans="1:7" x14ac:dyDescent="0.3">
      <c r="A100" t="s">
        <v>174</v>
      </c>
      <c r="B100" s="1">
        <v>11619</v>
      </c>
      <c r="C100" s="1">
        <v>18102</v>
      </c>
      <c r="D100" s="1">
        <v>18102</v>
      </c>
      <c r="E100" s="1">
        <v>7769</v>
      </c>
    </row>
    <row r="101" spans="1:7" x14ac:dyDescent="0.3">
      <c r="A101" t="s">
        <v>175</v>
      </c>
      <c r="B101" s="1">
        <v>136335.13</v>
      </c>
      <c r="C101" s="1">
        <v>124771.16</v>
      </c>
      <c r="D101" s="1">
        <v>167031.85999999999</v>
      </c>
      <c r="E101" s="1">
        <v>178531.05</v>
      </c>
      <c r="F101" s="1">
        <v>196811.75</v>
      </c>
      <c r="G101" s="1">
        <v>184146.51</v>
      </c>
    </row>
    <row r="102" spans="1:7" x14ac:dyDescent="0.3">
      <c r="A102" t="s">
        <v>176</v>
      </c>
      <c r="B102" s="1">
        <v>147954.13</v>
      </c>
      <c r="C102" s="1">
        <v>142873.16</v>
      </c>
      <c r="D102" s="1">
        <v>185133.86</v>
      </c>
      <c r="E102" s="1">
        <v>186300.05</v>
      </c>
      <c r="F102" s="1">
        <v>196811.75</v>
      </c>
      <c r="G102" s="1">
        <v>184146.51</v>
      </c>
    </row>
    <row r="103" spans="1:7" x14ac:dyDescent="0.3">
      <c r="A103" t="s">
        <v>177</v>
      </c>
      <c r="B103" s="1">
        <v>55460.92</v>
      </c>
      <c r="C103" s="1">
        <v>40008.1</v>
      </c>
      <c r="D103" s="1">
        <v>54387.18</v>
      </c>
      <c r="E103" s="1">
        <v>37512.78</v>
      </c>
      <c r="F103" s="1">
        <v>36077.589999999997</v>
      </c>
      <c r="G103" s="1">
        <v>34307.660000000003</v>
      </c>
    </row>
    <row r="106" spans="1:7" s="2" customFormat="1" x14ac:dyDescent="0.3">
      <c r="A106" s="2" t="s">
        <v>74</v>
      </c>
      <c r="B106" s="3" t="s">
        <v>75</v>
      </c>
      <c r="C106" s="3" t="s">
        <v>76</v>
      </c>
      <c r="D106" s="3" t="s">
        <v>77</v>
      </c>
      <c r="E106" s="3" t="s">
        <v>78</v>
      </c>
      <c r="F106" s="3" t="s">
        <v>79</v>
      </c>
      <c r="G106" s="3" t="s">
        <v>80</v>
      </c>
    </row>
    <row r="107" spans="1:7" x14ac:dyDescent="0.3">
      <c r="A107" t="s">
        <v>178</v>
      </c>
      <c r="B107" s="1">
        <v>84947.839999999997</v>
      </c>
      <c r="C107" s="1">
        <v>101603.01</v>
      </c>
      <c r="D107" s="1">
        <v>115174.06</v>
      </c>
      <c r="E107" s="1">
        <v>125416.65</v>
      </c>
      <c r="F107" s="1">
        <v>151061.57999999999</v>
      </c>
      <c r="G107" s="1">
        <v>179725.12</v>
      </c>
    </row>
    <row r="108" spans="1:7" x14ac:dyDescent="0.3">
      <c r="A108" t="s">
        <v>179</v>
      </c>
      <c r="B108">
        <v>564.34</v>
      </c>
      <c r="C108">
        <v>612.75</v>
      </c>
      <c r="D108">
        <v>613.95000000000005</v>
      </c>
      <c r="E108">
        <v>615.37</v>
      </c>
      <c r="F108">
        <v>617.30999999999995</v>
      </c>
      <c r="G108">
        <v>619.47</v>
      </c>
    </row>
    <row r="109" spans="1:7" x14ac:dyDescent="0.3">
      <c r="A109" t="s">
        <v>85</v>
      </c>
      <c r="B109" s="1">
        <v>84383.5</v>
      </c>
      <c r="C109" s="1">
        <v>100990.26</v>
      </c>
      <c r="D109" s="1">
        <v>114560.11</v>
      </c>
      <c r="E109" s="1">
        <v>124801.28</v>
      </c>
      <c r="F109" s="1">
        <v>150444.26999999999</v>
      </c>
      <c r="G109" s="1">
        <v>179105.65</v>
      </c>
    </row>
    <row r="110" spans="1:7" x14ac:dyDescent="0.3">
      <c r="A110" t="s">
        <v>152</v>
      </c>
      <c r="B110" s="1">
        <v>640104.93999999994</v>
      </c>
      <c r="C110" s="1">
        <v>707306.08</v>
      </c>
      <c r="D110" s="1">
        <v>821971.55</v>
      </c>
      <c r="E110" s="1">
        <v>946945.2</v>
      </c>
      <c r="F110" s="1">
        <v>1068641.3899999999</v>
      </c>
      <c r="G110" s="1">
        <v>1172952.02</v>
      </c>
    </row>
    <row r="111" spans="1:7" x14ac:dyDescent="0.3">
      <c r="A111" t="s">
        <v>153</v>
      </c>
      <c r="B111" s="1">
        <v>90114.44</v>
      </c>
      <c r="C111" s="1">
        <v>113276.17</v>
      </c>
      <c r="D111" s="1">
        <v>127556.78</v>
      </c>
      <c r="E111" s="1">
        <v>149120.49</v>
      </c>
      <c r="F111" s="1">
        <v>157268.01999999999</v>
      </c>
      <c r="G111" s="1">
        <v>166798.68</v>
      </c>
    </row>
    <row r="112" spans="1:7" x14ac:dyDescent="0.3">
      <c r="A112" t="s">
        <v>156</v>
      </c>
      <c r="B112" s="1">
        <v>173591.62</v>
      </c>
      <c r="C112" s="1">
        <v>204472.53</v>
      </c>
      <c r="D112" s="1">
        <v>242449.25</v>
      </c>
      <c r="E112" s="1">
        <v>297415.96999999997</v>
      </c>
      <c r="F112" s="1">
        <v>302132.58</v>
      </c>
      <c r="G112" s="1">
        <v>311389.33</v>
      </c>
    </row>
    <row r="113" spans="1:7" x14ac:dyDescent="0.3">
      <c r="A113" t="s">
        <v>157</v>
      </c>
      <c r="B113" s="1">
        <v>376398.88</v>
      </c>
      <c r="C113" s="1">
        <v>389557.38</v>
      </c>
      <c r="D113" s="1">
        <v>451965.52</v>
      </c>
      <c r="E113" s="1">
        <v>500408.74</v>
      </c>
      <c r="F113" s="1">
        <v>609240.79</v>
      </c>
      <c r="G113" s="1">
        <v>694764.01</v>
      </c>
    </row>
    <row r="114" spans="1:7" x14ac:dyDescent="0.3">
      <c r="A114" t="s">
        <v>162</v>
      </c>
      <c r="B114" s="1">
        <v>147954.13</v>
      </c>
      <c r="C114" s="1">
        <v>142873.16</v>
      </c>
      <c r="D114" s="1">
        <v>185133.86</v>
      </c>
      <c r="E114" s="1">
        <v>186300.05</v>
      </c>
      <c r="F114" s="1">
        <v>196811.75</v>
      </c>
      <c r="G114" s="1">
        <v>184146.51</v>
      </c>
    </row>
    <row r="115" spans="1:7" x14ac:dyDescent="0.3">
      <c r="A115" t="s">
        <v>163</v>
      </c>
      <c r="B115">
        <v>50</v>
      </c>
      <c r="C115">
        <v>35.5</v>
      </c>
      <c r="E115">
        <v>5</v>
      </c>
      <c r="F115">
        <v>5</v>
      </c>
      <c r="G115">
        <v>720.17</v>
      </c>
    </row>
    <row r="116" spans="1:7" x14ac:dyDescent="0.3">
      <c r="A116" t="s">
        <v>166</v>
      </c>
      <c r="B116" s="1">
        <v>56319.21</v>
      </c>
      <c r="C116" s="1">
        <v>60222.559999999998</v>
      </c>
      <c r="D116" s="1">
        <v>95064.68</v>
      </c>
      <c r="E116" s="1">
        <v>117433.27</v>
      </c>
      <c r="F116" s="1">
        <v>137149.16</v>
      </c>
      <c r="G116" s="1">
        <v>126388.68</v>
      </c>
    </row>
    <row r="117" spans="1:7" x14ac:dyDescent="0.3">
      <c r="A117" t="s">
        <v>169</v>
      </c>
      <c r="B117" s="1">
        <v>7000</v>
      </c>
      <c r="C117" s="1">
        <v>7000</v>
      </c>
      <c r="D117" s="1">
        <v>3500</v>
      </c>
    </row>
    <row r="118" spans="1:7" x14ac:dyDescent="0.3">
      <c r="A118" t="s">
        <v>171</v>
      </c>
      <c r="B118" s="1">
        <v>55460.92</v>
      </c>
      <c r="C118" s="1">
        <v>40008.1</v>
      </c>
      <c r="D118" s="1">
        <v>54387.18</v>
      </c>
      <c r="E118" s="1">
        <v>37512.78</v>
      </c>
      <c r="F118" s="1">
        <v>36077.589999999997</v>
      </c>
      <c r="G118" s="1">
        <v>34307.660000000003</v>
      </c>
    </row>
    <row r="119" spans="1:7" x14ac:dyDescent="0.3">
      <c r="A119" t="s">
        <v>173</v>
      </c>
      <c r="B119" s="1">
        <v>17505</v>
      </c>
      <c r="C119" s="1">
        <v>17505</v>
      </c>
      <c r="D119" s="1">
        <v>14080</v>
      </c>
      <c r="E119" s="1">
        <v>23580</v>
      </c>
      <c r="F119" s="1">
        <v>23580</v>
      </c>
      <c r="G119" s="1">
        <v>22730</v>
      </c>
    </row>
    <row r="120" spans="1:7" x14ac:dyDescent="0.3">
      <c r="A120" t="s">
        <v>180</v>
      </c>
      <c r="B120" s="1">
        <v>11619</v>
      </c>
      <c r="C120" s="1">
        <v>18102</v>
      </c>
      <c r="D120" s="1">
        <v>18102</v>
      </c>
      <c r="E120" s="1">
        <v>7769</v>
      </c>
    </row>
    <row r="121" spans="1:7" x14ac:dyDescent="0.3">
      <c r="A121" t="s">
        <v>181</v>
      </c>
      <c r="B121">
        <v>57.54</v>
      </c>
      <c r="C121">
        <v>42.04</v>
      </c>
      <c r="D121">
        <v>196.48</v>
      </c>
      <c r="E121">
        <v>418.33</v>
      </c>
      <c r="F121">
        <v>684.31</v>
      </c>
      <c r="G121" s="1">
        <v>1288.06</v>
      </c>
    </row>
    <row r="122" spans="1:7" x14ac:dyDescent="0.3">
      <c r="A122" t="s">
        <v>182</v>
      </c>
      <c r="B122" s="1">
        <v>34451.42</v>
      </c>
      <c r="C122" s="1">
        <v>33887.64</v>
      </c>
      <c r="D122" s="1">
        <v>45506.19</v>
      </c>
      <c r="E122" s="1">
        <v>49907.62</v>
      </c>
      <c r="F122" s="1">
        <v>54533.45</v>
      </c>
      <c r="G122" s="1">
        <v>65585.210000000006</v>
      </c>
    </row>
    <row r="123" spans="1:7" x14ac:dyDescent="0.3">
      <c r="A123" t="s">
        <v>183</v>
      </c>
      <c r="B123" s="1">
        <v>3689.79</v>
      </c>
      <c r="C123" s="1">
        <v>7032.65</v>
      </c>
      <c r="D123" s="1">
        <v>8499.36</v>
      </c>
      <c r="E123" s="1">
        <v>9543.81</v>
      </c>
      <c r="F123" s="1">
        <v>6713.89</v>
      </c>
      <c r="G123" s="1">
        <v>6193.8</v>
      </c>
    </row>
    <row r="124" spans="1:7" x14ac:dyDescent="0.3">
      <c r="A124" t="s">
        <v>184</v>
      </c>
      <c r="B124" s="1">
        <v>2348</v>
      </c>
    </row>
    <row r="125" spans="1:7" x14ac:dyDescent="0.3">
      <c r="A125" t="s">
        <v>185</v>
      </c>
      <c r="B125" s="1">
        <v>27660.82</v>
      </c>
      <c r="C125" s="1">
        <v>23518.1</v>
      </c>
      <c r="D125" s="1">
        <v>32767.07</v>
      </c>
      <c r="E125" s="1">
        <v>36637.879999999997</v>
      </c>
      <c r="F125" s="1">
        <v>44576.78</v>
      </c>
      <c r="G125" s="1">
        <v>56071.57</v>
      </c>
    </row>
    <row r="126" spans="1:7" x14ac:dyDescent="0.3">
      <c r="A126" t="s">
        <v>186</v>
      </c>
      <c r="B126" s="1">
        <v>7706.49</v>
      </c>
      <c r="C126" s="1">
        <v>10448.530000000001</v>
      </c>
      <c r="D126" s="1">
        <v>7643.1</v>
      </c>
      <c r="E126" s="1">
        <v>8756</v>
      </c>
      <c r="F126" s="1">
        <v>6160.42</v>
      </c>
      <c r="G126" s="1">
        <v>7521</v>
      </c>
    </row>
    <row r="127" spans="1:7" x14ac:dyDescent="0.3">
      <c r="A127" t="s">
        <v>187</v>
      </c>
      <c r="B127" s="1">
        <v>4519.74</v>
      </c>
      <c r="C127" s="1">
        <v>7048.31</v>
      </c>
      <c r="D127" s="1">
        <v>7270.82</v>
      </c>
      <c r="E127" s="1">
        <v>7866.4</v>
      </c>
      <c r="F127" s="1">
        <v>4949.01</v>
      </c>
      <c r="G127" s="1">
        <v>5021.87</v>
      </c>
    </row>
    <row r="128" spans="1:7" x14ac:dyDescent="0.3">
      <c r="A128" t="s">
        <v>188</v>
      </c>
      <c r="B128" s="1">
        <v>3186.75</v>
      </c>
      <c r="C128" s="1">
        <v>3400.22</v>
      </c>
      <c r="D128">
        <v>372.28</v>
      </c>
      <c r="E128">
        <v>889.6</v>
      </c>
      <c r="F128" s="1">
        <v>1211.4100000000001</v>
      </c>
      <c r="G128" s="1">
        <v>1421.14</v>
      </c>
    </row>
    <row r="129" spans="1:7" x14ac:dyDescent="0.3">
      <c r="A129" t="s">
        <v>82</v>
      </c>
      <c r="B129" s="1">
        <v>915222.36</v>
      </c>
      <c r="C129" s="1">
        <v>996160.46</v>
      </c>
      <c r="D129" s="1">
        <v>1175625.24</v>
      </c>
      <c r="E129" s="1">
        <v>1317743.8500000001</v>
      </c>
      <c r="F129" s="1">
        <v>1477892.9</v>
      </c>
      <c r="G129" s="1">
        <v>1611217.9199999999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8A37-4551-45FD-A756-3BA5798C9398}">
  <dimension ref="A1:I26"/>
  <sheetViews>
    <sheetView zoomScaleNormal="100" workbookViewId="0">
      <selection activeCell="J29" sqref="J29"/>
    </sheetView>
  </sheetViews>
  <sheetFormatPr defaultRowHeight="14.4" x14ac:dyDescent="0.3"/>
  <cols>
    <col min="1" max="1" width="44.33203125" bestFit="1" customWidth="1"/>
    <col min="2" max="2" width="14.33203125" bestFit="1" customWidth="1"/>
    <col min="3" max="3" width="18.77734375" bestFit="1" customWidth="1"/>
    <col min="4" max="4" width="14.6640625" bestFit="1" customWidth="1"/>
    <col min="5" max="5" width="13.21875" bestFit="1" customWidth="1"/>
    <col min="6" max="6" width="9.5546875" bestFit="1" customWidth="1"/>
    <col min="7" max="7" width="11.33203125" bestFit="1" customWidth="1"/>
    <col min="8" max="8" width="9.5546875" bestFit="1" customWidth="1"/>
    <col min="9" max="9" width="11.33203125" bestFit="1" customWidth="1"/>
  </cols>
  <sheetData>
    <row r="1" spans="1:9" x14ac:dyDescent="0.3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231</v>
      </c>
      <c r="H1" s="2" t="s">
        <v>195</v>
      </c>
      <c r="I1" s="2" t="s">
        <v>232</v>
      </c>
    </row>
    <row r="2" spans="1:9" x14ac:dyDescent="0.3">
      <c r="A2" t="s">
        <v>21</v>
      </c>
      <c r="B2" t="s">
        <v>196</v>
      </c>
      <c r="C2" t="s">
        <v>21</v>
      </c>
      <c r="D2" t="s">
        <v>21</v>
      </c>
      <c r="E2" t="s">
        <v>21</v>
      </c>
      <c r="F2" t="s">
        <v>197</v>
      </c>
      <c r="G2" t="s">
        <v>198</v>
      </c>
      <c r="H2" t="s">
        <v>197</v>
      </c>
      <c r="I2" t="s">
        <v>198</v>
      </c>
    </row>
    <row r="3" spans="1:9" x14ac:dyDescent="0.3">
      <c r="A3" s="4">
        <v>45771</v>
      </c>
      <c r="B3">
        <v>50</v>
      </c>
      <c r="C3">
        <v>1</v>
      </c>
      <c r="D3" t="s">
        <v>199</v>
      </c>
      <c r="E3" s="4">
        <v>45842</v>
      </c>
      <c r="F3" s="4">
        <v>45842</v>
      </c>
      <c r="G3" s="1">
        <v>1177.55</v>
      </c>
      <c r="H3" s="4">
        <v>45842</v>
      </c>
      <c r="I3" s="1">
        <v>1177.5999999999999</v>
      </c>
    </row>
    <row r="4" spans="1:9" x14ac:dyDescent="0.3">
      <c r="A4" s="4">
        <v>45406</v>
      </c>
      <c r="B4">
        <v>50</v>
      </c>
      <c r="C4">
        <v>1</v>
      </c>
      <c r="D4" t="s">
        <v>199</v>
      </c>
      <c r="E4" s="4">
        <v>45485</v>
      </c>
      <c r="F4" s="4">
        <v>45485</v>
      </c>
      <c r="G4" s="1">
        <v>1317.8</v>
      </c>
      <c r="H4" s="4">
        <v>45485</v>
      </c>
      <c r="I4" s="1">
        <v>1317.3</v>
      </c>
    </row>
    <row r="5" spans="1:9" x14ac:dyDescent="0.3">
      <c r="A5" s="4">
        <v>45043</v>
      </c>
      <c r="B5">
        <v>50</v>
      </c>
      <c r="C5">
        <v>1</v>
      </c>
      <c r="D5" t="s">
        <v>199</v>
      </c>
      <c r="E5" s="4">
        <v>45114</v>
      </c>
      <c r="F5" s="4">
        <v>45114</v>
      </c>
      <c r="G5">
        <v>978.7</v>
      </c>
      <c r="H5" s="4">
        <v>45114</v>
      </c>
      <c r="I5">
        <v>976.7</v>
      </c>
    </row>
    <row r="6" spans="1:9" x14ac:dyDescent="0.3">
      <c r="A6" s="4">
        <v>44679</v>
      </c>
      <c r="B6">
        <v>50</v>
      </c>
      <c r="C6">
        <v>1</v>
      </c>
      <c r="D6" t="s">
        <v>199</v>
      </c>
      <c r="E6" s="4">
        <v>44750</v>
      </c>
      <c r="F6" s="4">
        <v>44749</v>
      </c>
      <c r="G6">
        <v>658.45</v>
      </c>
      <c r="H6" s="4">
        <v>44749</v>
      </c>
      <c r="I6">
        <v>658.15</v>
      </c>
    </row>
    <row r="7" spans="1:9" x14ac:dyDescent="0.3">
      <c r="A7" s="4">
        <v>43580</v>
      </c>
      <c r="B7">
        <v>50</v>
      </c>
      <c r="C7">
        <v>1</v>
      </c>
      <c r="D7" t="s">
        <v>199</v>
      </c>
      <c r="E7" s="4">
        <v>43652</v>
      </c>
      <c r="F7" s="4">
        <v>43650</v>
      </c>
      <c r="G7">
        <v>808.65</v>
      </c>
      <c r="H7" s="4">
        <v>43650</v>
      </c>
      <c r="I7">
        <v>808.85</v>
      </c>
    </row>
    <row r="8" spans="1:9" x14ac:dyDescent="0.3">
      <c r="A8" s="4">
        <v>42851</v>
      </c>
      <c r="B8">
        <v>250</v>
      </c>
      <c r="C8">
        <v>5</v>
      </c>
      <c r="D8" t="s">
        <v>199</v>
      </c>
      <c r="E8" s="4">
        <v>42924</v>
      </c>
      <c r="F8" s="4">
        <v>42922</v>
      </c>
      <c r="G8">
        <v>509.65</v>
      </c>
      <c r="H8" s="4">
        <v>42922</v>
      </c>
      <c r="I8">
        <v>509.5</v>
      </c>
    </row>
    <row r="9" spans="1:9" x14ac:dyDescent="0.3">
      <c r="A9" s="4">
        <v>42486</v>
      </c>
      <c r="B9">
        <v>250</v>
      </c>
      <c r="C9">
        <v>5</v>
      </c>
      <c r="D9" t="s">
        <v>199</v>
      </c>
      <c r="E9" s="4">
        <v>42560</v>
      </c>
      <c r="F9" s="4">
        <v>42558</v>
      </c>
      <c r="G9">
        <v>542.45000000000005</v>
      </c>
      <c r="H9" s="4">
        <v>42558</v>
      </c>
      <c r="I9">
        <v>542.25</v>
      </c>
    </row>
    <row r="10" spans="1:9" x14ac:dyDescent="0.3">
      <c r="A10" s="4">
        <v>42123</v>
      </c>
      <c r="B10">
        <v>230</v>
      </c>
      <c r="C10">
        <v>4.5999999999999996</v>
      </c>
      <c r="D10" t="s">
        <v>199</v>
      </c>
      <c r="E10" s="4">
        <v>42198</v>
      </c>
      <c r="F10" s="4">
        <v>42194</v>
      </c>
      <c r="G10">
        <v>571.79999999999995</v>
      </c>
      <c r="H10" s="4">
        <v>42194</v>
      </c>
      <c r="I10">
        <v>571.70000000000005</v>
      </c>
    </row>
    <row r="11" spans="1:9" x14ac:dyDescent="0.3">
      <c r="A11" s="4">
        <v>41754</v>
      </c>
      <c r="B11">
        <v>200</v>
      </c>
      <c r="C11">
        <v>20</v>
      </c>
      <c r="D11" t="s">
        <v>199</v>
      </c>
      <c r="E11" s="4">
        <v>41806</v>
      </c>
      <c r="F11" s="4">
        <v>41802</v>
      </c>
      <c r="G11" s="1">
        <v>1904.5</v>
      </c>
      <c r="H11" s="4">
        <v>41802</v>
      </c>
      <c r="I11" s="1">
        <v>1902.75</v>
      </c>
    </row>
    <row r="12" spans="1:9" x14ac:dyDescent="0.3">
      <c r="A12" s="4">
        <v>41389</v>
      </c>
      <c r="B12">
        <v>180</v>
      </c>
      <c r="C12">
        <v>18</v>
      </c>
      <c r="D12" t="s">
        <v>199</v>
      </c>
      <c r="E12" s="4">
        <v>41464</v>
      </c>
      <c r="F12" s="4">
        <v>41460</v>
      </c>
      <c r="G12" s="1">
        <v>1284.7</v>
      </c>
      <c r="H12" s="4">
        <v>41460</v>
      </c>
      <c r="I12" s="1">
        <v>1288.05</v>
      </c>
    </row>
    <row r="13" spans="1:9" x14ac:dyDescent="0.3">
      <c r="A13" s="4">
        <v>41026</v>
      </c>
      <c r="B13">
        <v>160</v>
      </c>
      <c r="C13">
        <v>16</v>
      </c>
      <c r="D13" t="s">
        <v>199</v>
      </c>
      <c r="E13" s="4">
        <v>41076</v>
      </c>
      <c r="F13" s="4">
        <v>41074</v>
      </c>
      <c r="G13" s="1">
        <v>1012.35</v>
      </c>
      <c r="H13" s="4">
        <v>41074</v>
      </c>
      <c r="I13" s="1">
        <v>1013.05</v>
      </c>
    </row>
    <row r="14" spans="1:9" x14ac:dyDescent="0.3">
      <c r="A14" s="4">
        <v>40655</v>
      </c>
      <c r="B14">
        <v>140</v>
      </c>
      <c r="C14">
        <v>14</v>
      </c>
      <c r="D14" t="s">
        <v>199</v>
      </c>
      <c r="E14" s="4">
        <v>40704</v>
      </c>
      <c r="F14" s="4">
        <v>40702</v>
      </c>
      <c r="G14" s="1">
        <v>1228.45</v>
      </c>
      <c r="H14" s="4">
        <v>40702</v>
      </c>
      <c r="I14" s="1">
        <v>1228.75</v>
      </c>
    </row>
    <row r="15" spans="1:9" x14ac:dyDescent="0.3">
      <c r="A15" s="4">
        <v>40288</v>
      </c>
      <c r="B15">
        <v>120</v>
      </c>
      <c r="C15">
        <v>12</v>
      </c>
      <c r="D15" t="s">
        <v>199</v>
      </c>
      <c r="E15" s="4">
        <v>40322</v>
      </c>
      <c r="F15" s="4">
        <v>40318</v>
      </c>
      <c r="G15" s="1">
        <v>1207.4000000000001</v>
      </c>
      <c r="H15" s="4">
        <v>40318</v>
      </c>
      <c r="I15" s="1">
        <v>1207.95</v>
      </c>
    </row>
    <row r="16" spans="1:9" x14ac:dyDescent="0.3">
      <c r="A16" s="4">
        <v>39923</v>
      </c>
      <c r="B16">
        <v>100</v>
      </c>
      <c r="C16">
        <v>10</v>
      </c>
      <c r="D16" t="s">
        <v>199</v>
      </c>
      <c r="E16" s="4">
        <v>39951</v>
      </c>
      <c r="F16" s="4">
        <v>39947</v>
      </c>
      <c r="G16">
        <v>637.4</v>
      </c>
      <c r="H16" s="4">
        <v>39947</v>
      </c>
      <c r="I16">
        <v>637.54999999999995</v>
      </c>
    </row>
    <row r="17" spans="1:9" x14ac:dyDescent="0.3">
      <c r="A17" s="4">
        <v>39559</v>
      </c>
      <c r="B17">
        <v>60</v>
      </c>
      <c r="C17">
        <v>6</v>
      </c>
      <c r="D17" t="s">
        <v>199</v>
      </c>
      <c r="E17" s="4">
        <v>39594</v>
      </c>
      <c r="F17" s="4">
        <v>39590</v>
      </c>
      <c r="G17">
        <v>828.4</v>
      </c>
      <c r="H17" s="4">
        <v>39590</v>
      </c>
      <c r="I17">
        <v>828.6</v>
      </c>
    </row>
    <row r="18" spans="1:9" x14ac:dyDescent="0.3">
      <c r="A18" s="4">
        <v>39189</v>
      </c>
      <c r="B18">
        <v>45</v>
      </c>
      <c r="C18">
        <v>4.5</v>
      </c>
      <c r="D18" t="s">
        <v>199</v>
      </c>
      <c r="E18" s="4">
        <v>39223</v>
      </c>
      <c r="F18" s="4">
        <v>39219</v>
      </c>
      <c r="G18">
        <v>541.1</v>
      </c>
      <c r="H18" s="4">
        <v>39219</v>
      </c>
      <c r="I18">
        <v>543.9</v>
      </c>
    </row>
    <row r="19" spans="1:9" x14ac:dyDescent="0.3">
      <c r="A19" s="4">
        <v>38824</v>
      </c>
      <c r="B19">
        <v>35</v>
      </c>
      <c r="C19">
        <v>3.5</v>
      </c>
      <c r="D19" t="s">
        <v>199</v>
      </c>
      <c r="E19" s="4">
        <v>38855</v>
      </c>
      <c r="F19" s="4">
        <v>38853</v>
      </c>
      <c r="G19">
        <v>339.25</v>
      </c>
      <c r="H19" s="4">
        <v>38853</v>
      </c>
      <c r="I19">
        <v>337.4</v>
      </c>
    </row>
    <row r="20" spans="1:9" x14ac:dyDescent="0.3">
      <c r="A20" s="4">
        <v>38463</v>
      </c>
      <c r="B20">
        <v>28</v>
      </c>
      <c r="C20">
        <v>2.8</v>
      </c>
      <c r="D20" t="s">
        <v>199</v>
      </c>
      <c r="E20" s="4">
        <v>38497</v>
      </c>
      <c r="F20" s="4">
        <v>38492</v>
      </c>
      <c r="G20">
        <v>220.05</v>
      </c>
      <c r="H20" s="4">
        <v>38492</v>
      </c>
      <c r="I20">
        <v>220.15</v>
      </c>
    </row>
    <row r="21" spans="1:9" x14ac:dyDescent="0.3">
      <c r="A21" s="4">
        <v>38106</v>
      </c>
      <c r="B21">
        <v>25</v>
      </c>
      <c r="C21">
        <v>2.5</v>
      </c>
      <c r="D21" t="s">
        <v>199</v>
      </c>
      <c r="E21" s="4">
        <v>38139</v>
      </c>
      <c r="F21" s="4">
        <v>38135</v>
      </c>
      <c r="G21">
        <v>118.45</v>
      </c>
      <c r="H21" s="4">
        <v>38135</v>
      </c>
      <c r="I21">
        <v>118.55</v>
      </c>
    </row>
    <row r="22" spans="1:9" x14ac:dyDescent="0.3">
      <c r="A22" s="4">
        <v>37748</v>
      </c>
      <c r="B22">
        <v>22</v>
      </c>
      <c r="C22">
        <v>2.2000000000000002</v>
      </c>
      <c r="D22" t="s">
        <v>199</v>
      </c>
      <c r="E22" s="4">
        <v>37783</v>
      </c>
      <c r="F22" s="4">
        <v>37781</v>
      </c>
      <c r="G22">
        <v>49.3</v>
      </c>
      <c r="H22" s="4">
        <v>37781</v>
      </c>
      <c r="I22">
        <v>49.6</v>
      </c>
    </row>
    <row r="23" spans="1:9" x14ac:dyDescent="0.3">
      <c r="A23" s="4">
        <v>37378</v>
      </c>
      <c r="B23">
        <v>20</v>
      </c>
      <c r="C23">
        <v>2</v>
      </c>
      <c r="D23" t="s">
        <v>199</v>
      </c>
      <c r="E23" s="4">
        <v>37438</v>
      </c>
      <c r="F23" s="4">
        <v>37433</v>
      </c>
      <c r="G23">
        <v>38.549999999999997</v>
      </c>
      <c r="H23" s="4">
        <v>37433</v>
      </c>
      <c r="I23">
        <v>38.65</v>
      </c>
    </row>
    <row r="24" spans="1:9" x14ac:dyDescent="0.3">
      <c r="A24" s="4">
        <v>37016</v>
      </c>
      <c r="B24">
        <v>15</v>
      </c>
      <c r="C24">
        <v>1.5</v>
      </c>
      <c r="D24" t="s">
        <v>199</v>
      </c>
      <c r="E24" s="4">
        <v>37062</v>
      </c>
      <c r="F24" s="4">
        <v>37046</v>
      </c>
      <c r="G24">
        <v>33.5</v>
      </c>
      <c r="H24" s="4">
        <v>37048</v>
      </c>
      <c r="I24">
        <v>33.6</v>
      </c>
    </row>
    <row r="25" spans="1:9" x14ac:dyDescent="0.3">
      <c r="A25" s="4">
        <v>36644</v>
      </c>
      <c r="B25">
        <v>12</v>
      </c>
      <c r="C25">
        <v>1.2</v>
      </c>
      <c r="D25" t="s">
        <v>199</v>
      </c>
      <c r="E25" s="4">
        <v>36662</v>
      </c>
      <c r="F25" s="4">
        <v>36648</v>
      </c>
      <c r="G25">
        <v>35</v>
      </c>
      <c r="H25" s="4">
        <v>36642</v>
      </c>
      <c r="I25">
        <v>33.6</v>
      </c>
    </row>
    <row r="26" spans="1:9" x14ac:dyDescent="0.3">
      <c r="A26" s="4">
        <v>36309</v>
      </c>
      <c r="B26">
        <v>10</v>
      </c>
      <c r="C26">
        <v>1</v>
      </c>
      <c r="D26" t="s">
        <v>199</v>
      </c>
      <c r="E26" s="4">
        <v>36355</v>
      </c>
      <c r="F26" s="4">
        <v>36318</v>
      </c>
      <c r="G26">
        <v>15.5</v>
      </c>
      <c r="H26" s="4">
        <v>36320</v>
      </c>
      <c r="I26">
        <v>15.25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A94D-AB84-445F-BD78-4BDA72D73CD1}">
  <dimension ref="A1:G54"/>
  <sheetViews>
    <sheetView topLeftCell="A7" zoomScaleNormal="100" workbookViewId="0">
      <selection activeCell="B10" sqref="B10"/>
    </sheetView>
  </sheetViews>
  <sheetFormatPr defaultRowHeight="14.4" x14ac:dyDescent="0.3"/>
  <cols>
    <col min="1" max="1" width="41.21875" bestFit="1" customWidth="1"/>
    <col min="2" max="4" width="11.6640625" bestFit="1" customWidth="1"/>
    <col min="5" max="7" width="13.33203125" bestFit="1" customWidth="1"/>
    <col min="8" max="8" width="12.21875" bestFit="1" customWidth="1"/>
    <col min="9" max="9" width="13.44140625" bestFit="1" customWidth="1"/>
  </cols>
  <sheetData>
    <row r="1" spans="1:7" s="2" customFormat="1" x14ac:dyDescent="0.3">
      <c r="A1" s="2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</row>
    <row r="2" spans="1:7" x14ac:dyDescent="0.3">
      <c r="A2" t="s">
        <v>200</v>
      </c>
      <c r="B2">
        <v>5.99</v>
      </c>
      <c r="C2">
        <v>22.15</v>
      </c>
      <c r="D2">
        <v>42.48</v>
      </c>
      <c r="E2">
        <v>31.17</v>
      </c>
      <c r="F2">
        <v>80.67</v>
      </c>
      <c r="G2">
        <v>85.28</v>
      </c>
    </row>
    <row r="3" spans="1:7" x14ac:dyDescent="0.3">
      <c r="A3" t="s">
        <v>201</v>
      </c>
      <c r="B3">
        <v>5.97</v>
      </c>
      <c r="C3">
        <v>22.09</v>
      </c>
      <c r="D3">
        <v>42.35</v>
      </c>
      <c r="E3">
        <v>31.02</v>
      </c>
      <c r="F3">
        <v>80.099999999999994</v>
      </c>
      <c r="G3">
        <v>84.77</v>
      </c>
    </row>
    <row r="4" spans="1:7" x14ac:dyDescent="0.3">
      <c r="A4" t="s">
        <v>202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 x14ac:dyDescent="0.3">
      <c r="A5" t="s">
        <v>203</v>
      </c>
      <c r="B5" s="1">
        <v>8395776</v>
      </c>
      <c r="C5" s="1">
        <v>7886586</v>
      </c>
      <c r="D5" s="1">
        <v>9200000</v>
      </c>
      <c r="E5" s="1">
        <v>14800000</v>
      </c>
      <c r="F5" s="1">
        <v>22300000</v>
      </c>
      <c r="G5" s="1">
        <v>18400000</v>
      </c>
    </row>
    <row r="6" spans="1:7" x14ac:dyDescent="0.3">
      <c r="A6" t="s">
        <v>204</v>
      </c>
      <c r="B6" s="1">
        <v>1420559</v>
      </c>
    </row>
    <row r="7" spans="1:7" x14ac:dyDescent="0.3">
      <c r="B7" s="1"/>
    </row>
    <row r="9" spans="1:7" x14ac:dyDescent="0.3">
      <c r="A9" s="2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</row>
    <row r="10" spans="1:7" x14ac:dyDescent="0.3">
      <c r="A10" t="s">
        <v>205</v>
      </c>
      <c r="B10" s="1">
        <v>2458.11</v>
      </c>
      <c r="C10">
        <v>40.14</v>
      </c>
      <c r="D10">
        <v>22.04</v>
      </c>
      <c r="E10">
        <v>46.28</v>
      </c>
      <c r="F10">
        <v>39.79</v>
      </c>
      <c r="G10">
        <v>14.63</v>
      </c>
    </row>
    <row r="11" spans="1:7" x14ac:dyDescent="0.3">
      <c r="A11" t="s">
        <v>206</v>
      </c>
      <c r="B11">
        <v>0.15</v>
      </c>
      <c r="C11">
        <v>17.38</v>
      </c>
      <c r="D11">
        <v>34.54</v>
      </c>
      <c r="E11">
        <v>18.55</v>
      </c>
      <c r="F11">
        <v>26.34</v>
      </c>
      <c r="G11">
        <v>75.34</v>
      </c>
    </row>
    <row r="12" spans="1:7" x14ac:dyDescent="0.3">
      <c r="A12" t="s">
        <v>207</v>
      </c>
      <c r="B12">
        <v>2.91</v>
      </c>
      <c r="C12">
        <v>20.48</v>
      </c>
      <c r="D12">
        <v>37.83</v>
      </c>
      <c r="E12">
        <v>61.12</v>
      </c>
      <c r="F12">
        <v>68.77</v>
      </c>
      <c r="G12">
        <v>79.66</v>
      </c>
    </row>
    <row r="13" spans="1:7" x14ac:dyDescent="0.3">
      <c r="A13" t="s">
        <v>208</v>
      </c>
      <c r="B13">
        <v>1.26</v>
      </c>
      <c r="C13">
        <v>2.1</v>
      </c>
      <c r="D13">
        <v>2.0299999999999998</v>
      </c>
      <c r="E13">
        <v>2.11</v>
      </c>
      <c r="F13">
        <v>2.27</v>
      </c>
      <c r="G13">
        <v>2.0099999999999998</v>
      </c>
    </row>
    <row r="14" spans="1:7" x14ac:dyDescent="0.3">
      <c r="A14" t="s">
        <v>209</v>
      </c>
      <c r="B14">
        <v>301.05</v>
      </c>
      <c r="C14">
        <v>331.63</v>
      </c>
      <c r="D14">
        <v>375.19</v>
      </c>
      <c r="E14">
        <v>407.61</v>
      </c>
      <c r="F14">
        <v>462.79</v>
      </c>
      <c r="G14">
        <v>548.89</v>
      </c>
    </row>
    <row r="15" spans="1:7" x14ac:dyDescent="0.3">
      <c r="A15" t="s">
        <v>210</v>
      </c>
      <c r="B15">
        <v>379.3</v>
      </c>
      <c r="C15">
        <v>697.5</v>
      </c>
      <c r="D15">
        <v>761.15</v>
      </c>
      <c r="E15">
        <v>858.5</v>
      </c>
      <c r="F15" s="1">
        <v>1048.3</v>
      </c>
      <c r="G15" s="1">
        <v>1102</v>
      </c>
    </row>
    <row r="16" spans="1:7" x14ac:dyDescent="0.3">
      <c r="A16" t="s">
        <v>211</v>
      </c>
      <c r="B16">
        <v>0.26</v>
      </c>
      <c r="C16">
        <v>0</v>
      </c>
      <c r="D16">
        <v>0</v>
      </c>
      <c r="E16">
        <v>0.12</v>
      </c>
      <c r="F16">
        <v>0.1</v>
      </c>
      <c r="G16">
        <v>0.09</v>
      </c>
    </row>
    <row r="17" spans="1:7" x14ac:dyDescent="0.3">
      <c r="A17" t="s">
        <v>212</v>
      </c>
      <c r="B17">
        <v>0.34</v>
      </c>
      <c r="C17">
        <v>0</v>
      </c>
      <c r="D17">
        <v>0</v>
      </c>
      <c r="E17">
        <v>0.24</v>
      </c>
      <c r="F17">
        <v>0.22</v>
      </c>
      <c r="G17">
        <v>0.18</v>
      </c>
    </row>
    <row r="18" spans="1:7" x14ac:dyDescent="0.3">
      <c r="A18" t="s">
        <v>213</v>
      </c>
      <c r="B18">
        <v>0.18</v>
      </c>
      <c r="E18">
        <v>0.03</v>
      </c>
      <c r="F18">
        <v>0.01</v>
      </c>
      <c r="G18">
        <v>0.01</v>
      </c>
    </row>
    <row r="19" spans="1:7" x14ac:dyDescent="0.3">
      <c r="A19" t="s">
        <v>214</v>
      </c>
      <c r="B19">
        <v>5.63</v>
      </c>
      <c r="E19">
        <v>31.19</v>
      </c>
      <c r="F19">
        <v>80.72</v>
      </c>
      <c r="G19">
        <v>85.33</v>
      </c>
    </row>
    <row r="20" spans="1:7" x14ac:dyDescent="0.3">
      <c r="A20" t="s">
        <v>215</v>
      </c>
      <c r="B20">
        <v>0.06</v>
      </c>
      <c r="C20">
        <v>5.71</v>
      </c>
      <c r="D20">
        <v>9.7799999999999994</v>
      </c>
      <c r="E20">
        <v>4.74</v>
      </c>
      <c r="F20">
        <v>15.78</v>
      </c>
      <c r="G20">
        <v>13.41</v>
      </c>
    </row>
    <row r="21" spans="1:7" x14ac:dyDescent="0.3">
      <c r="A21" t="s">
        <v>216</v>
      </c>
      <c r="B21">
        <v>0.02</v>
      </c>
      <c r="C21">
        <v>2.23</v>
      </c>
      <c r="D21">
        <v>3.89</v>
      </c>
      <c r="E21">
        <v>1.87</v>
      </c>
      <c r="F21">
        <v>6.61</v>
      </c>
      <c r="G21">
        <v>6.23</v>
      </c>
    </row>
    <row r="22" spans="1:7" x14ac:dyDescent="0.3">
      <c r="A22" t="s">
        <v>217</v>
      </c>
      <c r="B22">
        <v>0.01</v>
      </c>
      <c r="C22">
        <v>0.56000000000000005</v>
      </c>
      <c r="D22">
        <v>0.98</v>
      </c>
      <c r="E22">
        <v>0.46</v>
      </c>
      <c r="F22">
        <v>1.56</v>
      </c>
      <c r="G22">
        <v>1.44</v>
      </c>
    </row>
    <row r="23" spans="1:7" x14ac:dyDescent="0.3">
      <c r="A23" t="s">
        <v>218</v>
      </c>
      <c r="B23" s="1">
        <v>157712.09</v>
      </c>
      <c r="C23" s="1">
        <v>294839.81</v>
      </c>
      <c r="D23" s="1">
        <v>307800.59000000003</v>
      </c>
      <c r="E23" s="1">
        <v>344037</v>
      </c>
      <c r="F23" s="1">
        <v>405922.54</v>
      </c>
      <c r="G23" s="1">
        <v>425744.5</v>
      </c>
    </row>
    <row r="24" spans="1:7" x14ac:dyDescent="0.3">
      <c r="A24" t="s">
        <v>219</v>
      </c>
      <c r="B24">
        <v>0.68</v>
      </c>
      <c r="C24">
        <v>0.72</v>
      </c>
      <c r="D24">
        <v>0.76</v>
      </c>
      <c r="E24">
        <v>0.77</v>
      </c>
      <c r="F24">
        <v>0.8</v>
      </c>
      <c r="G24">
        <v>0.8</v>
      </c>
    </row>
    <row r="25" spans="1:7" x14ac:dyDescent="0.3">
      <c r="A25" t="s">
        <v>220</v>
      </c>
      <c r="B25">
        <v>2.56</v>
      </c>
      <c r="C25">
        <v>4.8499999999999996</v>
      </c>
      <c r="D25">
        <v>4.93</v>
      </c>
      <c r="E25">
        <v>4.32</v>
      </c>
      <c r="F25">
        <v>4.0199999999999996</v>
      </c>
      <c r="G25">
        <v>3.66</v>
      </c>
    </row>
    <row r="26" spans="1:7" x14ac:dyDescent="0.3">
      <c r="A26" t="s">
        <v>221</v>
      </c>
      <c r="B26" s="1">
        <v>107026.24000000001</v>
      </c>
      <c r="C26" s="1">
        <v>213696.47</v>
      </c>
      <c r="D26" s="1">
        <v>233653.86</v>
      </c>
      <c r="E26" s="1">
        <v>264147.75</v>
      </c>
      <c r="F26" s="1">
        <v>323565.17</v>
      </c>
      <c r="G26" s="1">
        <v>341330.07</v>
      </c>
    </row>
    <row r="27" spans="1:7" x14ac:dyDescent="0.3">
      <c r="A27" t="s">
        <v>222</v>
      </c>
    </row>
    <row r="28" spans="1:7" x14ac:dyDescent="0.3">
      <c r="A28" t="s">
        <v>223</v>
      </c>
      <c r="B28" s="1">
        <v>97268.28</v>
      </c>
      <c r="C28" s="1">
        <v>61729.82</v>
      </c>
      <c r="D28" s="1">
        <v>110987.13</v>
      </c>
      <c r="E28" s="1">
        <v>106410.8</v>
      </c>
      <c r="F28" s="1">
        <v>114454.38</v>
      </c>
      <c r="G28" s="1">
        <v>99732.08</v>
      </c>
    </row>
    <row r="29" spans="1:7" x14ac:dyDescent="0.3">
      <c r="A29" t="s">
        <v>162</v>
      </c>
      <c r="B29" s="1">
        <v>147954.13</v>
      </c>
      <c r="C29" s="1">
        <v>142873.16</v>
      </c>
      <c r="D29" s="1">
        <v>185133.86</v>
      </c>
      <c r="E29" s="1">
        <v>186300.05</v>
      </c>
      <c r="F29" s="1">
        <v>196811.75</v>
      </c>
      <c r="G29" s="1">
        <v>184146.51</v>
      </c>
    </row>
    <row r="30" spans="1:7" x14ac:dyDescent="0.3">
      <c r="A30" t="s">
        <v>224</v>
      </c>
      <c r="B30">
        <v>1.74</v>
      </c>
      <c r="C30">
        <v>1.41</v>
      </c>
      <c r="D30">
        <v>1.61</v>
      </c>
      <c r="E30">
        <v>1.49</v>
      </c>
      <c r="F30">
        <v>1.3</v>
      </c>
      <c r="G30">
        <v>1.02</v>
      </c>
    </row>
    <row r="31" spans="1:7" x14ac:dyDescent="0.3">
      <c r="A31" t="s">
        <v>225</v>
      </c>
      <c r="B31">
        <v>564.34</v>
      </c>
      <c r="C31">
        <v>612.75</v>
      </c>
      <c r="D31">
        <v>613.95000000000005</v>
      </c>
      <c r="E31">
        <v>615.37</v>
      </c>
      <c r="F31">
        <v>617.30999999999995</v>
      </c>
      <c r="G31">
        <v>619.47</v>
      </c>
    </row>
    <row r="32" spans="1:7" x14ac:dyDescent="0.3">
      <c r="A32" t="s">
        <v>226</v>
      </c>
      <c r="B32" s="1">
        <v>84947.83</v>
      </c>
      <c r="C32" s="1">
        <v>101603</v>
      </c>
      <c r="D32" s="1">
        <v>115174.05</v>
      </c>
      <c r="E32" s="1">
        <v>125416.65</v>
      </c>
      <c r="F32" s="1">
        <v>142842.37</v>
      </c>
      <c r="G32" s="1">
        <v>170010.63</v>
      </c>
    </row>
    <row r="33" spans="1:7" x14ac:dyDescent="0.3">
      <c r="A33" t="s">
        <v>227</v>
      </c>
      <c r="B33" s="1">
        <v>915222.36</v>
      </c>
      <c r="C33" s="1">
        <v>996160.46</v>
      </c>
      <c r="D33" s="1">
        <v>1175625.24</v>
      </c>
      <c r="E33" s="1">
        <v>1317743.8500000001</v>
      </c>
      <c r="F33" s="1">
        <v>1477892.9</v>
      </c>
      <c r="G33" s="1">
        <v>1611217.9199999999</v>
      </c>
    </row>
    <row r="34" spans="1:7" x14ac:dyDescent="0.3">
      <c r="A34" t="s">
        <v>228</v>
      </c>
      <c r="B34" s="1">
        <v>8600.1299999999992</v>
      </c>
      <c r="C34" s="1">
        <v>9788.24</v>
      </c>
      <c r="D34" s="1">
        <v>10844.38</v>
      </c>
      <c r="E34" s="1">
        <v>23969.8</v>
      </c>
      <c r="F34" s="1">
        <v>25806.09</v>
      </c>
      <c r="G34" s="1">
        <v>27614.29</v>
      </c>
    </row>
    <row r="35" spans="1:7" x14ac:dyDescent="0.3">
      <c r="A35" t="s">
        <v>20</v>
      </c>
      <c r="B35" s="1">
        <v>78211.38</v>
      </c>
      <c r="C35" s="1">
        <v>78217.13</v>
      </c>
      <c r="D35" s="1">
        <v>85030.89</v>
      </c>
      <c r="E35" s="1">
        <v>105788.58</v>
      </c>
      <c r="F35" s="1">
        <v>134866.89000000001</v>
      </c>
      <c r="G35" s="1">
        <v>152144.97</v>
      </c>
    </row>
    <row r="36" spans="1:7" x14ac:dyDescent="0.3">
      <c r="A36" t="s">
        <v>229</v>
      </c>
      <c r="B36">
        <v>43.54</v>
      </c>
      <c r="C36" s="1">
        <v>5323.99</v>
      </c>
      <c r="D36" s="1">
        <v>10601.71</v>
      </c>
      <c r="E36" s="1">
        <v>5707.43</v>
      </c>
      <c r="F36" s="1">
        <v>21812.57</v>
      </c>
      <c r="G36" s="1">
        <v>22181.52</v>
      </c>
    </row>
    <row r="37" spans="1:7" x14ac:dyDescent="0.3">
      <c r="A37" t="s">
        <v>230</v>
      </c>
      <c r="B37">
        <v>43.54</v>
      </c>
      <c r="C37" s="1">
        <v>5323.99</v>
      </c>
      <c r="D37" s="1">
        <v>10601.71</v>
      </c>
      <c r="E37" s="1">
        <v>5707.43</v>
      </c>
      <c r="F37" s="1">
        <v>8131.09</v>
      </c>
      <c r="G37" s="1">
        <v>23336.79</v>
      </c>
    </row>
    <row r="40" spans="1:7" s="2" customFormat="1" x14ac:dyDescent="0.3">
      <c r="A40" s="2" t="s">
        <v>74</v>
      </c>
      <c r="B40" s="3" t="s">
        <v>75</v>
      </c>
      <c r="C40" s="3" t="s">
        <v>76</v>
      </c>
      <c r="D40" s="3" t="s">
        <v>77</v>
      </c>
      <c r="E40" s="3" t="s">
        <v>78</v>
      </c>
      <c r="F40" s="3" t="s">
        <v>79</v>
      </c>
      <c r="G40" s="3" t="s">
        <v>80</v>
      </c>
    </row>
    <row r="41" spans="1:7" x14ac:dyDescent="0.3">
      <c r="A41" t="s">
        <v>233</v>
      </c>
      <c r="B41">
        <v>6.27</v>
      </c>
      <c r="C41">
        <v>11.26</v>
      </c>
      <c r="D41">
        <v>20.440000000000001</v>
      </c>
      <c r="E41">
        <v>15.98</v>
      </c>
      <c r="F41">
        <v>24.51</v>
      </c>
      <c r="G41">
        <v>22.57</v>
      </c>
    </row>
    <row r="42" spans="1:7" x14ac:dyDescent="0.3">
      <c r="A42" t="s">
        <v>234</v>
      </c>
      <c r="B42">
        <v>2.08</v>
      </c>
      <c r="C42">
        <v>8.42</v>
      </c>
      <c r="D42">
        <v>15.32</v>
      </c>
      <c r="E42">
        <v>9.06</v>
      </c>
      <c r="F42">
        <v>18.43</v>
      </c>
      <c r="G42">
        <v>17.329999999999998</v>
      </c>
    </row>
    <row r="43" spans="1:7" x14ac:dyDescent="0.3">
      <c r="A43" t="s">
        <v>235</v>
      </c>
      <c r="B43">
        <v>28.11</v>
      </c>
      <c r="C43">
        <v>28.57</v>
      </c>
      <c r="D43">
        <v>29.54</v>
      </c>
      <c r="E43">
        <v>19.010000000000002</v>
      </c>
      <c r="F43">
        <v>27.94</v>
      </c>
      <c r="G43">
        <v>28.2</v>
      </c>
    </row>
    <row r="44" spans="1:7" x14ac:dyDescent="0.3">
      <c r="A44" t="s">
        <v>236</v>
      </c>
      <c r="B44">
        <v>0.06</v>
      </c>
      <c r="C44">
        <v>6.92</v>
      </c>
      <c r="D44">
        <v>12.83</v>
      </c>
      <c r="E44">
        <v>5.6</v>
      </c>
      <c r="F44">
        <v>16.55</v>
      </c>
      <c r="G44">
        <v>14.99</v>
      </c>
    </row>
    <row r="45" spans="1:7" x14ac:dyDescent="0.3">
      <c r="A45" t="s">
        <v>237</v>
      </c>
      <c r="B45">
        <v>28.11</v>
      </c>
      <c r="C45">
        <v>28.57</v>
      </c>
      <c r="D45">
        <v>29.54</v>
      </c>
      <c r="E45">
        <v>19.010000000000002</v>
      </c>
      <c r="F45">
        <v>27.94</v>
      </c>
      <c r="G45">
        <v>28.2</v>
      </c>
    </row>
    <row r="46" spans="1:7" x14ac:dyDescent="0.3">
      <c r="A46" t="s">
        <v>238</v>
      </c>
      <c r="B46">
        <v>0.06</v>
      </c>
      <c r="C46">
        <v>5.71</v>
      </c>
      <c r="D46">
        <v>9.7799999999999994</v>
      </c>
      <c r="E46">
        <v>4.74</v>
      </c>
      <c r="F46">
        <v>15.78</v>
      </c>
      <c r="G46">
        <v>13.41</v>
      </c>
    </row>
    <row r="47" spans="1:7" x14ac:dyDescent="0.3">
      <c r="A47" t="s">
        <v>239</v>
      </c>
      <c r="B47">
        <v>2.15</v>
      </c>
      <c r="C47">
        <v>7.06</v>
      </c>
      <c r="D47">
        <v>12.02</v>
      </c>
      <c r="E47">
        <v>7.96</v>
      </c>
      <c r="F47">
        <v>17.98</v>
      </c>
      <c r="G47">
        <v>15.95</v>
      </c>
    </row>
    <row r="48" spans="1:7" x14ac:dyDescent="0.3">
      <c r="A48" t="s">
        <v>240</v>
      </c>
      <c r="B48">
        <v>0.02</v>
      </c>
      <c r="C48">
        <v>2.23</v>
      </c>
      <c r="D48">
        <v>3.89</v>
      </c>
      <c r="E48">
        <v>1.87</v>
      </c>
      <c r="F48">
        <v>6.61</v>
      </c>
      <c r="G48">
        <v>6.23</v>
      </c>
    </row>
    <row r="49" spans="1:7" x14ac:dyDescent="0.3">
      <c r="A49" t="s">
        <v>241</v>
      </c>
      <c r="B49">
        <v>0.72</v>
      </c>
      <c r="C49">
        <v>2.76</v>
      </c>
      <c r="D49">
        <v>4.78</v>
      </c>
      <c r="E49">
        <v>3.13</v>
      </c>
      <c r="F49">
        <v>7.54</v>
      </c>
      <c r="G49">
        <v>7.41</v>
      </c>
    </row>
    <row r="50" spans="1:7" x14ac:dyDescent="0.3">
      <c r="A50" t="s">
        <v>242</v>
      </c>
      <c r="B50">
        <v>0.01</v>
      </c>
      <c r="C50">
        <v>0.56000000000000005</v>
      </c>
      <c r="D50">
        <v>0.98</v>
      </c>
      <c r="E50">
        <v>0.46</v>
      </c>
      <c r="F50">
        <v>1.56</v>
      </c>
      <c r="G50">
        <v>1.44</v>
      </c>
    </row>
    <row r="51" spans="1:7" x14ac:dyDescent="0.3">
      <c r="A51" t="s">
        <v>243</v>
      </c>
      <c r="B51">
        <v>0.19</v>
      </c>
      <c r="C51">
        <v>0.69</v>
      </c>
      <c r="D51">
        <v>1.2</v>
      </c>
      <c r="E51">
        <v>0.77</v>
      </c>
      <c r="F51">
        <v>1.78</v>
      </c>
      <c r="G51">
        <v>1.71</v>
      </c>
    </row>
    <row r="52" spans="1:7" x14ac:dyDescent="0.3">
      <c r="A52" t="s">
        <v>244</v>
      </c>
      <c r="B52">
        <v>4.12</v>
      </c>
      <c r="C52">
        <v>4.03</v>
      </c>
      <c r="D52">
        <v>3.96</v>
      </c>
      <c r="E52">
        <v>4.72</v>
      </c>
      <c r="F52">
        <v>5.0999999999999996</v>
      </c>
      <c r="G52">
        <v>4.88</v>
      </c>
    </row>
    <row r="53" spans="1:7" x14ac:dyDescent="0.3">
      <c r="A53" t="s">
        <v>245</v>
      </c>
      <c r="B53">
        <v>2.83</v>
      </c>
      <c r="C53">
        <v>2.74</v>
      </c>
      <c r="D53">
        <v>2.2999999999999998</v>
      </c>
      <c r="E53">
        <v>1.65</v>
      </c>
      <c r="F53">
        <v>2.73</v>
      </c>
      <c r="G53">
        <v>2.78</v>
      </c>
    </row>
    <row r="54" spans="1:7" x14ac:dyDescent="0.3">
      <c r="A54" t="s">
        <v>246</v>
      </c>
      <c r="B54">
        <v>0.02</v>
      </c>
      <c r="C54">
        <v>0</v>
      </c>
      <c r="D54">
        <v>0.16</v>
      </c>
      <c r="E54">
        <v>0.11</v>
      </c>
      <c r="F54">
        <v>0.25</v>
      </c>
      <c r="G54">
        <v>0.25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C4D9-D168-4CD2-AD5C-BF8E14C0D947}">
  <dimension ref="A1:I49"/>
  <sheetViews>
    <sheetView topLeftCell="B1" zoomScale="70" zoomScaleNormal="100" workbookViewId="0">
      <selection activeCell="R30" sqref="R30"/>
    </sheetView>
  </sheetViews>
  <sheetFormatPr defaultColWidth="12" defaultRowHeight="14.4" x14ac:dyDescent="0.3"/>
  <cols>
    <col min="4" max="4" width="14.21875" customWidth="1"/>
    <col min="8" max="8" width="22.5546875" bestFit="1" customWidth="1"/>
  </cols>
  <sheetData>
    <row r="1" spans="1:9" x14ac:dyDescent="0.3">
      <c r="A1" t="s">
        <v>247</v>
      </c>
      <c r="B1" t="s">
        <v>248</v>
      </c>
      <c r="C1" t="s">
        <v>255</v>
      </c>
      <c r="D1" t="s">
        <v>252</v>
      </c>
      <c r="E1" t="s">
        <v>249</v>
      </c>
      <c r="F1" t="s">
        <v>256</v>
      </c>
      <c r="G1" t="s">
        <v>253</v>
      </c>
      <c r="H1" t="s">
        <v>250</v>
      </c>
      <c r="I1" t="s">
        <v>251</v>
      </c>
    </row>
    <row r="2" spans="1:9" x14ac:dyDescent="0.3">
      <c r="A2">
        <v>2020</v>
      </c>
      <c r="B2" s="1">
        <f>Table1[[#This Row],[Mar-20]]</f>
        <v>78211.38</v>
      </c>
      <c r="C2" s="1" t="s">
        <v>254</v>
      </c>
      <c r="D2" s="7" t="s">
        <v>254</v>
      </c>
      <c r="E2" s="1">
        <f>Income_Statement_Data!B71</f>
        <v>1627.22</v>
      </c>
      <c r="F2" s="1" t="s">
        <v>254</v>
      </c>
      <c r="G2" s="1" t="s">
        <v>254</v>
      </c>
      <c r="H2" s="1">
        <f>Balance_Sheet_Data!B27</f>
        <v>915222.36</v>
      </c>
      <c r="I2" s="1">
        <f>Balance_Sheet_Data!B16</f>
        <v>147954.13</v>
      </c>
    </row>
    <row r="3" spans="1:9" x14ac:dyDescent="0.3">
      <c r="A3">
        <v>2021</v>
      </c>
      <c r="B3" s="1">
        <f>Income_Statement_Data!C2</f>
        <v>78217.13</v>
      </c>
      <c r="C3" s="1">
        <f>Table9[[#This Row],[Revenue]]-B2</f>
        <v>5.75</v>
      </c>
      <c r="D3" s="8">
        <f>Table9[[#This Row],[Rev Abs Change ]]/B2</f>
        <v>7.3518713005703263E-5</v>
      </c>
      <c r="E3" s="1">
        <f>Income_Statement_Data!C71</f>
        <v>6588.5</v>
      </c>
      <c r="F3" s="1">
        <f>Table9[[#This Row],[PAT]]-E2</f>
        <v>4961.28</v>
      </c>
      <c r="G3" s="8">
        <f>Table9[[#This Row],[PAT Abs Change]]/E2</f>
        <v>3.0489300770639494</v>
      </c>
      <c r="H3" s="1">
        <f>Balance_Sheet_Data!C27</f>
        <v>996160.46</v>
      </c>
      <c r="I3" s="1">
        <f>Balance_Sheet_Data!C16</f>
        <v>142873.16</v>
      </c>
    </row>
    <row r="4" spans="1:9" x14ac:dyDescent="0.3">
      <c r="A4">
        <v>2022</v>
      </c>
      <c r="B4" s="1">
        <f>Income_Statement_Data!D2</f>
        <v>85030.89</v>
      </c>
      <c r="C4" s="1">
        <f>Table9[[#This Row],[Revenue]]-B3</f>
        <v>6813.7599999999948</v>
      </c>
      <c r="D4" s="8">
        <f>Table9[[#This Row],[Rev Abs Change ]]/B3</f>
        <v>8.7113398305460638E-2</v>
      </c>
      <c r="E4" s="1">
        <f>Income_Statement_Data!D71</f>
        <v>13025.48</v>
      </c>
      <c r="F4" s="1">
        <f>Table9[[#This Row],[PAT]]-E3</f>
        <v>6436.98</v>
      </c>
      <c r="G4" s="8">
        <f>Table9[[#This Row],[PAT Abs Change]]/E3</f>
        <v>0.97700235258404788</v>
      </c>
      <c r="H4" s="1">
        <f>Balance_Sheet_Data!D27</f>
        <v>1175625.24</v>
      </c>
      <c r="I4" s="1">
        <f>Balance_Sheet_Data!D16</f>
        <v>185133.86</v>
      </c>
    </row>
    <row r="5" spans="1:9" x14ac:dyDescent="0.3">
      <c r="A5">
        <v>2023</v>
      </c>
      <c r="B5" s="1">
        <f>Income_Statement_Data!E2</f>
        <v>105788.58</v>
      </c>
      <c r="C5" s="1">
        <f>Table9[[#This Row],[Revenue]]-B4</f>
        <v>20757.690000000002</v>
      </c>
      <c r="D5" s="8">
        <f>Table9[[#This Row],[Rev Abs Change ]]/B4</f>
        <v>0.24411940178445743</v>
      </c>
      <c r="E5" s="1">
        <f>Income_Statement_Data!E71</f>
        <v>9579.68</v>
      </c>
      <c r="F5" s="1">
        <f>Table9[[#This Row],[PAT]]-E4</f>
        <v>-3445.7999999999993</v>
      </c>
      <c r="G5" s="8">
        <f>Table9[[#This Row],[PAT Abs Change]]/E4</f>
        <v>-0.26454303411467367</v>
      </c>
      <c r="H5" s="1">
        <f>Balance_Sheet_Data!E27</f>
        <v>1317743.8500000001</v>
      </c>
      <c r="I5" s="1">
        <f>Balance_Sheet_Data!E16</f>
        <v>186300.05</v>
      </c>
    </row>
    <row r="6" spans="1:9" x14ac:dyDescent="0.3">
      <c r="A6">
        <v>2024</v>
      </c>
      <c r="B6" s="1">
        <f>Income_Statement_Data!F2</f>
        <v>134866.89000000001</v>
      </c>
      <c r="C6" s="1">
        <f>Table9[[#This Row],[Revenue]]-B5</f>
        <v>29078.310000000012</v>
      </c>
      <c r="D6" s="8">
        <f>Table9[[#This Row],[Rev Abs Change ]]/B5</f>
        <v>0.27487191906725672</v>
      </c>
      <c r="E6" s="1">
        <f>Income_Statement_Data!F71</f>
        <v>24861.43</v>
      </c>
      <c r="F6" s="1">
        <f>Table9[[#This Row],[PAT]]-E5</f>
        <v>15281.75</v>
      </c>
      <c r="G6" s="8">
        <f>Table9[[#This Row],[PAT Abs Change]]/E5</f>
        <v>1.5952255190152489</v>
      </c>
      <c r="H6" s="1">
        <f>Balance_Sheet_Data!F27</f>
        <v>1477892.9</v>
      </c>
      <c r="I6" s="1">
        <f>Balance_Sheet_Data!F16</f>
        <v>196811.75</v>
      </c>
    </row>
    <row r="7" spans="1:9" x14ac:dyDescent="0.3">
      <c r="A7">
        <v>2025</v>
      </c>
      <c r="B7" s="1">
        <f>Income_Statement_Data!G2</f>
        <v>152144.97</v>
      </c>
      <c r="C7" s="1">
        <f>Table9[[#This Row],[Revenue]]-B6</f>
        <v>17278.079999999987</v>
      </c>
      <c r="D7" s="8">
        <f>Table9[[#This Row],[Rev Abs Change ]]/B6</f>
        <v>0.12811209630473414</v>
      </c>
      <c r="E7" s="1">
        <f>Income_Statement_Data!G71</f>
        <v>26373.48</v>
      </c>
      <c r="F7" s="1">
        <f>Table9[[#This Row],[PAT]]-E6</f>
        <v>1512.0499999999993</v>
      </c>
      <c r="G7" s="8">
        <f>Table9[[#This Row],[PAT Abs Change]]/E6</f>
        <v>6.0819108152668583E-2</v>
      </c>
      <c r="H7" s="1">
        <f>Balance_Sheet_Data!G27</f>
        <v>1611217.9199999999</v>
      </c>
      <c r="I7" s="1">
        <f>Balance_Sheet_Data!G16</f>
        <v>184146.51</v>
      </c>
    </row>
    <row r="26" spans="2:8" x14ac:dyDescent="0.3">
      <c r="B26" t="s">
        <v>257</v>
      </c>
      <c r="H26" t="s">
        <v>261</v>
      </c>
    </row>
    <row r="27" spans="2:8" x14ac:dyDescent="0.3">
      <c r="B27" t="s">
        <v>258</v>
      </c>
      <c r="H27" t="s">
        <v>262</v>
      </c>
    </row>
    <row r="48" spans="2:8" x14ac:dyDescent="0.3">
      <c r="B48" t="s">
        <v>259</v>
      </c>
      <c r="H48" t="s">
        <v>263</v>
      </c>
    </row>
    <row r="49" spans="2:8" x14ac:dyDescent="0.3">
      <c r="B49" t="s">
        <v>260</v>
      </c>
      <c r="H49" t="s">
        <v>264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2826-097B-4C5D-9775-37708AB5EB3A}">
  <dimension ref="A1:J11"/>
  <sheetViews>
    <sheetView topLeftCell="A2" workbookViewId="0">
      <selection activeCell="H14" sqref="H14"/>
    </sheetView>
  </sheetViews>
  <sheetFormatPr defaultColWidth="15.44140625" defaultRowHeight="19.2" customHeight="1" x14ac:dyDescent="0.3"/>
  <cols>
    <col min="1" max="1" width="11.88671875" customWidth="1"/>
    <col min="2" max="2" width="11.5546875" customWidth="1"/>
    <col min="9" max="9" width="16.88671875" customWidth="1"/>
  </cols>
  <sheetData>
    <row r="1" spans="1:10" ht="19.2" customHeight="1" x14ac:dyDescent="0.35">
      <c r="A1" s="28" t="s">
        <v>344</v>
      </c>
      <c r="D1" s="27" t="s">
        <v>277</v>
      </c>
      <c r="E1" s="30"/>
      <c r="G1" s="29" t="s">
        <v>276</v>
      </c>
    </row>
    <row r="2" spans="1:10" ht="19.2" customHeight="1" x14ac:dyDescent="0.3">
      <c r="A2" s="6" t="s">
        <v>247</v>
      </c>
      <c r="B2" s="6" t="s">
        <v>265</v>
      </c>
      <c r="D2" s="6" t="s">
        <v>266</v>
      </c>
      <c r="E2" s="6" t="s">
        <v>267</v>
      </c>
      <c r="G2" s="6" t="s">
        <v>247</v>
      </c>
      <c r="H2" s="6" t="s">
        <v>265</v>
      </c>
      <c r="I2" s="6" t="s">
        <v>273</v>
      </c>
      <c r="J2" s="6" t="s">
        <v>274</v>
      </c>
    </row>
    <row r="3" spans="1:10" ht="19.2" customHeight="1" x14ac:dyDescent="0.3">
      <c r="A3">
        <v>2022</v>
      </c>
      <c r="B3">
        <f>Market_Data!C6</f>
        <v>1</v>
      </c>
      <c r="D3" s="9" t="s">
        <v>268</v>
      </c>
      <c r="E3" s="9">
        <f>(B4/B3)^(0.2)-1</f>
        <v>0</v>
      </c>
      <c r="G3">
        <v>2022</v>
      </c>
      <c r="H3">
        <f>Market_Data!C6</f>
        <v>1</v>
      </c>
      <c r="I3">
        <f>1/(1+0.12)^1</f>
        <v>0.89285714285714279</v>
      </c>
      <c r="J3">
        <f>H3*I3</f>
        <v>0.89285714285714279</v>
      </c>
    </row>
    <row r="4" spans="1:10" ht="19.2" customHeight="1" x14ac:dyDescent="0.3">
      <c r="A4">
        <v>2023</v>
      </c>
      <c r="B4">
        <f>Market_Data!C5</f>
        <v>1</v>
      </c>
      <c r="D4" s="9" t="s">
        <v>269</v>
      </c>
      <c r="E4" s="11" t="e" cm="1">
        <f t="array" aca="1" ref="E4" ca="1">B6*E6(1+E3)</f>
        <v>#REF!</v>
      </c>
      <c r="G4">
        <v>2023</v>
      </c>
      <c r="H4">
        <f>Market_Data!C5</f>
        <v>1</v>
      </c>
      <c r="I4">
        <f>1/(1+0.12)^2</f>
        <v>0.79719387755102034</v>
      </c>
      <c r="J4">
        <f t="shared" ref="J4:J6" si="0">H4*I4</f>
        <v>0.79719387755102034</v>
      </c>
    </row>
    <row r="5" spans="1:10" ht="19.2" customHeight="1" x14ac:dyDescent="0.3">
      <c r="A5">
        <v>2024</v>
      </c>
      <c r="B5">
        <f>Table8[[#This Row],[Dividend per share]]</f>
        <v>1</v>
      </c>
      <c r="D5" s="9" t="s">
        <v>270</v>
      </c>
      <c r="E5" s="10">
        <v>0.12</v>
      </c>
      <c r="G5">
        <v>2024</v>
      </c>
      <c r="H5">
        <f>Table8[[#This Row],[Dividend per share]]</f>
        <v>1</v>
      </c>
      <c r="I5">
        <f>1/(1+0.12)^3</f>
        <v>0.71178024781341087</v>
      </c>
      <c r="J5">
        <f t="shared" si="0"/>
        <v>0.71178024781341087</v>
      </c>
    </row>
    <row r="6" spans="1:10" ht="19.2" customHeight="1" x14ac:dyDescent="0.3">
      <c r="A6">
        <v>2025</v>
      </c>
      <c r="B6">
        <f>Market_Data!C3</f>
        <v>1</v>
      </c>
      <c r="D6" s="9" t="s">
        <v>271</v>
      </c>
      <c r="E6" s="11" t="e">
        <f ca="1">E4/(E5-E3)</f>
        <v>#REF!</v>
      </c>
      <c r="G6">
        <v>2025</v>
      </c>
      <c r="H6">
        <f>Market_Data!C3</f>
        <v>1</v>
      </c>
      <c r="I6">
        <f>1/(1+0.12)^4</f>
        <v>0.63551807840483121</v>
      </c>
      <c r="J6">
        <f t="shared" si="0"/>
        <v>0.63551807840483121</v>
      </c>
    </row>
    <row r="7" spans="1:10" ht="19.2" customHeight="1" x14ac:dyDescent="0.3">
      <c r="D7" s="9"/>
      <c r="E7" s="9"/>
      <c r="I7" t="s">
        <v>275</v>
      </c>
      <c r="J7">
        <f>SUM(Table15[Present Value])</f>
        <v>3.0373493466264052</v>
      </c>
    </row>
    <row r="8" spans="1:10" ht="19.2" customHeight="1" x14ac:dyDescent="0.3">
      <c r="D8" t="s">
        <v>272</v>
      </c>
      <c r="E8" s="5">
        <v>0.12</v>
      </c>
    </row>
    <row r="10" spans="1:10" ht="19.2" customHeight="1" x14ac:dyDescent="0.3">
      <c r="D10" t="s">
        <v>324</v>
      </c>
    </row>
    <row r="11" spans="1:10" ht="19.2" customHeight="1" x14ac:dyDescent="0.3">
      <c r="D11" t="s">
        <v>325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55C8-EFB4-4C6A-9F5B-27DFDE5B9F46}">
  <dimension ref="A1:E11"/>
  <sheetViews>
    <sheetView workbookViewId="0">
      <selection activeCell="V35" sqref="V35"/>
    </sheetView>
  </sheetViews>
  <sheetFormatPr defaultRowHeight="14.4" x14ac:dyDescent="0.3"/>
  <cols>
    <col min="1" max="1" width="17.44140625" bestFit="1" customWidth="1"/>
    <col min="2" max="2" width="12.33203125" customWidth="1"/>
  </cols>
  <sheetData>
    <row r="1" spans="1:5" x14ac:dyDescent="0.3">
      <c r="A1" t="s">
        <v>266</v>
      </c>
      <c r="B1" t="s">
        <v>267</v>
      </c>
    </row>
    <row r="2" spans="1:5" x14ac:dyDescent="0.3">
      <c r="A2" t="s">
        <v>278</v>
      </c>
      <c r="B2" s="1">
        <f>Balance_Sheet_Data!G16</f>
        <v>184146.51</v>
      </c>
      <c r="E2" t="s">
        <v>327</v>
      </c>
    </row>
    <row r="3" spans="1:5" x14ac:dyDescent="0.3">
      <c r="A3" t="s">
        <v>279</v>
      </c>
      <c r="B3" s="1">
        <f>Balance_Sheet_Data!G107</f>
        <v>179725.12</v>
      </c>
      <c r="E3" t="s">
        <v>328</v>
      </c>
    </row>
    <row r="4" spans="1:5" x14ac:dyDescent="0.3">
      <c r="A4" t="s">
        <v>280</v>
      </c>
      <c r="B4" s="1">
        <f>B2+B3</f>
        <v>363871.63</v>
      </c>
      <c r="E4" t="s">
        <v>329</v>
      </c>
    </row>
    <row r="5" spans="1:5" x14ac:dyDescent="0.3">
      <c r="A5" t="s">
        <v>281</v>
      </c>
      <c r="B5" s="12">
        <f>Income_Statement_Data!G30/B2</f>
        <v>0.37105900079235821</v>
      </c>
      <c r="E5" t="s">
        <v>330</v>
      </c>
    </row>
    <row r="6" spans="1:5" x14ac:dyDescent="0.3">
      <c r="A6" t="s">
        <v>281</v>
      </c>
      <c r="B6" s="12">
        <v>7.0000000000000007E-2</v>
      </c>
      <c r="C6" t="s">
        <v>326</v>
      </c>
    </row>
    <row r="7" spans="1:5" x14ac:dyDescent="0.3">
      <c r="A7" t="s">
        <v>270</v>
      </c>
      <c r="B7" s="12">
        <v>0.12</v>
      </c>
      <c r="C7" t="s">
        <v>326</v>
      </c>
    </row>
    <row r="8" spans="1:5" x14ac:dyDescent="0.3">
      <c r="A8" t="s">
        <v>282</v>
      </c>
      <c r="B8" s="12">
        <f>Income_Statement_Data!G54/Income_Statement_Data!G61</f>
        <v>0.17989143287861659</v>
      </c>
    </row>
    <row r="9" spans="1:5" x14ac:dyDescent="0.3">
      <c r="A9" t="s">
        <v>283</v>
      </c>
      <c r="B9" s="12">
        <f>(B3/B4*B7)+B2/B4*B6*(1-B8)</f>
        <v>8.8323520940490036E-2</v>
      </c>
    </row>
    <row r="11" spans="1:5" x14ac:dyDescent="0.3">
      <c r="A11" t="s">
        <v>284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9077-6236-4785-B19F-1C00E053BE66}">
  <dimension ref="A1:I15"/>
  <sheetViews>
    <sheetView zoomScale="99" workbookViewId="0">
      <selection activeCell="P34" sqref="P34"/>
    </sheetView>
  </sheetViews>
  <sheetFormatPr defaultRowHeight="14.4" x14ac:dyDescent="0.3"/>
  <cols>
    <col min="1" max="1" width="9.109375" bestFit="1" customWidth="1"/>
    <col min="2" max="2" width="13.77734375" bestFit="1" customWidth="1"/>
    <col min="3" max="3" width="31" bestFit="1" customWidth="1"/>
    <col min="4" max="4" width="13" customWidth="1"/>
    <col min="5" max="6" width="21.6640625" customWidth="1"/>
    <col min="8" max="8" width="11.21875" customWidth="1"/>
  </cols>
  <sheetData>
    <row r="1" spans="1:9" ht="19.8" customHeight="1" x14ac:dyDescent="0.3">
      <c r="A1" s="6" t="s">
        <v>247</v>
      </c>
      <c r="B1" s="6" t="s">
        <v>285</v>
      </c>
      <c r="C1" s="6" t="s">
        <v>290</v>
      </c>
      <c r="D1" s="6" t="s">
        <v>292</v>
      </c>
      <c r="E1" s="6" t="s">
        <v>295</v>
      </c>
      <c r="F1" s="6"/>
    </row>
    <row r="2" spans="1:9" x14ac:dyDescent="0.3">
      <c r="A2" s="9">
        <v>0</v>
      </c>
      <c r="B2" s="9">
        <v>-10000</v>
      </c>
      <c r="C2" s="9">
        <f>1/(1+$I$6)^Table18[[#This Row],[Year]]</f>
        <v>1</v>
      </c>
      <c r="D2" s="13">
        <f>Table18[[#This Row],[Cash Flow]]*Table18[[#This Row],[Present _Value_Factor  1/ (1+r)^t']]]</f>
        <v>-10000</v>
      </c>
      <c r="E2" s="13">
        <f>Table18[[#This Row],[PV]]</f>
        <v>-10000</v>
      </c>
      <c r="F2" s="13"/>
      <c r="G2" t="s">
        <v>286</v>
      </c>
    </row>
    <row r="3" spans="1:9" x14ac:dyDescent="0.3">
      <c r="A3" s="9">
        <v>1</v>
      </c>
      <c r="B3" s="9">
        <v>2500</v>
      </c>
      <c r="C3" s="9">
        <f>1/(1+$I$6)^Table18[[#This Row],[Year]]</f>
        <v>0.91884442517224663</v>
      </c>
      <c r="D3" s="13">
        <f>Table18[[#This Row],[Cash Flow]]*Table18[[#This Row],[Present _Value_Factor  1/ (1+r)^t']]]</f>
        <v>2297.1110629306168</v>
      </c>
      <c r="E3" s="13">
        <f>E2+Table18[[#This Row],[PV]]</f>
        <v>-7702.8889370693832</v>
      </c>
      <c r="F3" s="13"/>
      <c r="G3" t="s">
        <v>287</v>
      </c>
    </row>
    <row r="4" spans="1:9" x14ac:dyDescent="0.3">
      <c r="A4" s="9">
        <v>2</v>
      </c>
      <c r="B4" s="9">
        <v>3000</v>
      </c>
      <c r="C4" s="9">
        <f>1/(1+$I$6)^Table18[[#This Row],[Year]]</f>
        <v>0.84427507767011623</v>
      </c>
      <c r="D4" s="13">
        <f>Table18[[#This Row],[Cash Flow]]*Table18[[#This Row],[Present _Value_Factor  1/ (1+r)^t']]]</f>
        <v>2532.8252330103487</v>
      </c>
      <c r="E4" s="13">
        <f>E3+Table18[[#This Row],[PV]]</f>
        <v>-5170.0637040590345</v>
      </c>
      <c r="F4" s="13"/>
      <c r="G4" t="s">
        <v>288</v>
      </c>
    </row>
    <row r="5" spans="1:9" x14ac:dyDescent="0.3">
      <c r="A5" s="9">
        <v>3</v>
      </c>
      <c r="B5" s="9">
        <v>3500</v>
      </c>
      <c r="C5" s="9">
        <f>1/(1+$I$6)^Table18[[#This Row],[Year]]</f>
        <v>0.7757574484290517</v>
      </c>
      <c r="D5" s="13">
        <f>Table18[[#This Row],[Cash Flow]]*Table18[[#This Row],[Present _Value_Factor  1/ (1+r)^t']]]</f>
        <v>2715.1510695016809</v>
      </c>
      <c r="E5" s="13">
        <f>E4+Table18[[#This Row],[PV]]</f>
        <v>-2454.9126345573536</v>
      </c>
      <c r="F5" s="13"/>
      <c r="G5" t="s">
        <v>289</v>
      </c>
    </row>
    <row r="6" spans="1:9" x14ac:dyDescent="0.3">
      <c r="A6" s="9">
        <v>4</v>
      </c>
      <c r="B6" s="9">
        <v>4000</v>
      </c>
      <c r="C6" s="9">
        <f>1/(1+$I$6)^Table18[[#This Row],[Year]]</f>
        <v>0.71280040677488077</v>
      </c>
      <c r="D6" s="13">
        <f>Table18[[#This Row],[Cash Flow]]*Table18[[#This Row],[Present _Value_Factor  1/ (1+r)^t']]]</f>
        <v>2851.2016270995232</v>
      </c>
      <c r="E6" s="13">
        <f>Table18[[#This Row],[PV]]</f>
        <v>2851.2016270995232</v>
      </c>
      <c r="F6" s="13"/>
      <c r="G6" t="s">
        <v>291</v>
      </c>
      <c r="I6" s="5">
        <f>WACC_Analysis!B9</f>
        <v>8.8323520940490036E-2</v>
      </c>
    </row>
    <row r="7" spans="1:9" x14ac:dyDescent="0.3">
      <c r="A7" s="9">
        <v>5</v>
      </c>
      <c r="B7" s="9">
        <v>4500</v>
      </c>
      <c r="C7" s="9">
        <f>1/(1+$I$6)^Table18[[#This Row],[Year]]</f>
        <v>0.65495268002560891</v>
      </c>
      <c r="D7" s="13">
        <f>Table18[[#This Row],[Cash Flow]]*Table18[[#This Row],[Present _Value_Factor  1/ (1+r)^t']]]</f>
        <v>2947.2870601152399</v>
      </c>
      <c r="E7" s="13">
        <f>E6+Table18[[#This Row],[PV]]</f>
        <v>5798.4886872147636</v>
      </c>
      <c r="F7" s="13"/>
    </row>
    <row r="8" spans="1:9" x14ac:dyDescent="0.3">
      <c r="A8" s="9"/>
      <c r="B8" s="9"/>
      <c r="C8" s="9" t="s">
        <v>294</v>
      </c>
      <c r="D8" s="10">
        <f>IRR(Table18[Cash Flow])</f>
        <v>0.19711108389976184</v>
      </c>
      <c r="E8" s="9"/>
      <c r="H8" s="14"/>
    </row>
    <row r="9" spans="1:9" x14ac:dyDescent="0.3">
      <c r="A9" s="9"/>
      <c r="B9" s="9"/>
      <c r="C9" s="9" t="s">
        <v>293</v>
      </c>
      <c r="D9" s="13">
        <f>SUM(Table18[PV])</f>
        <v>3343.7731637413094</v>
      </c>
    </row>
    <row r="12" spans="1:9" ht="15.6" x14ac:dyDescent="0.3">
      <c r="B12" s="25" t="s">
        <v>331</v>
      </c>
    </row>
    <row r="13" spans="1:9" ht="15.6" x14ac:dyDescent="0.3">
      <c r="B13" s="25" t="s">
        <v>332</v>
      </c>
    </row>
    <row r="14" spans="1:9" ht="15.6" x14ac:dyDescent="0.3">
      <c r="B14" s="25" t="s">
        <v>333</v>
      </c>
    </row>
    <row r="15" spans="1:9" x14ac:dyDescent="0.3">
      <c r="B15" t="s">
        <v>334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25CC-A249-4369-986C-4E93C795EE58}">
  <dimension ref="A1:F13"/>
  <sheetViews>
    <sheetView workbookViewId="0">
      <selection activeCell="N23" sqref="N23"/>
    </sheetView>
  </sheetViews>
  <sheetFormatPr defaultRowHeight="14.4" x14ac:dyDescent="0.3"/>
  <cols>
    <col min="2" max="2" width="11.33203125" customWidth="1"/>
    <col min="3" max="3" width="12.5546875" customWidth="1"/>
    <col min="4" max="4" width="13.44140625" customWidth="1"/>
    <col min="5" max="5" width="11.33203125" bestFit="1" customWidth="1"/>
    <col min="6" max="6" width="10" customWidth="1"/>
  </cols>
  <sheetData>
    <row r="1" spans="1:6" ht="28.8" x14ac:dyDescent="0.3">
      <c r="A1" s="6" t="s">
        <v>247</v>
      </c>
      <c r="B1" s="6" t="s">
        <v>251</v>
      </c>
      <c r="C1" s="6" t="s">
        <v>306</v>
      </c>
      <c r="D1" s="6" t="s">
        <v>307</v>
      </c>
      <c r="E1" s="6" t="s">
        <v>308</v>
      </c>
      <c r="F1" s="6" t="s">
        <v>309</v>
      </c>
    </row>
    <row r="2" spans="1:6" x14ac:dyDescent="0.3">
      <c r="A2">
        <v>2020</v>
      </c>
      <c r="B2" s="1">
        <f>Balance_Sheet_Data!B114</f>
        <v>147954.13</v>
      </c>
      <c r="C2" s="1">
        <f>Balance_Sheet_Data!B107</f>
        <v>84947.839999999997</v>
      </c>
      <c r="D2" s="1">
        <f>Table22[[#This Row],[Total Debt]]+Table22[[#This Row],[Total Equity]]</f>
        <v>232901.97</v>
      </c>
      <c r="E2" s="12">
        <f>Table22[[#This Row],[Total Debt]]/Table22[[#This Row],[Total Capital]]</f>
        <v>0.6352635402783412</v>
      </c>
      <c r="F2" s="5">
        <f>Table22[[#This Row],[Total Equity]]/Table22[[#This Row],[Total Capital]]</f>
        <v>0.36473645972165886</v>
      </c>
    </row>
    <row r="3" spans="1:6" x14ac:dyDescent="0.3">
      <c r="A3">
        <v>2021</v>
      </c>
      <c r="B3" s="1">
        <f>Balance_Sheet_Data!C114</f>
        <v>142873.16</v>
      </c>
      <c r="C3" s="1">
        <f>Balance_Sheet_Data!C107</f>
        <v>101603.01</v>
      </c>
      <c r="D3" s="1">
        <f>Table22[[#This Row],[Total Debt]]+Table22[[#This Row],[Total Equity]]</f>
        <v>244476.16999999998</v>
      </c>
      <c r="E3" s="12">
        <f>Table22[[#This Row],[Total Debt]]/Table22[[#This Row],[Total Capital]]</f>
        <v>0.58440526125716064</v>
      </c>
      <c r="F3" s="5">
        <f>Table22[[#This Row],[Total Equity]]/Table22[[#This Row],[Total Capital]]</f>
        <v>0.41559473874283942</v>
      </c>
    </row>
    <row r="4" spans="1:6" x14ac:dyDescent="0.3">
      <c r="A4">
        <v>2022</v>
      </c>
      <c r="B4" s="1">
        <f>Balance_Sheet_Data!D114</f>
        <v>185133.86</v>
      </c>
      <c r="C4" s="1">
        <f>Balance_Sheet_Data!D107</f>
        <v>115174.06</v>
      </c>
      <c r="D4" s="1">
        <f>Table22[[#This Row],[Total Debt]]+Table22[[#This Row],[Total Equity]]</f>
        <v>300307.92</v>
      </c>
      <c r="E4" s="12">
        <f>Table22[[#This Row],[Total Debt]]/Table22[[#This Row],[Total Capital]]</f>
        <v>0.61648011148024329</v>
      </c>
      <c r="F4" s="5">
        <f>Table22[[#This Row],[Total Equity]]/Table22[[#This Row],[Total Capital]]</f>
        <v>0.38351988851975666</v>
      </c>
    </row>
    <row r="5" spans="1:6" x14ac:dyDescent="0.3">
      <c r="A5">
        <v>2023</v>
      </c>
      <c r="B5" s="1">
        <f>Balance_Sheet_Data!E114</f>
        <v>186300.05</v>
      </c>
      <c r="C5" s="1">
        <f>Balance_Sheet_Data!E107</f>
        <v>125416.65</v>
      </c>
      <c r="D5" s="1">
        <f>Table22[[#This Row],[Total Debt]]+Table22[[#This Row],[Total Equity]]</f>
        <v>311716.69999999995</v>
      </c>
      <c r="E5" s="12">
        <f>Table22[[#This Row],[Total Debt]]/Table22[[#This Row],[Total Capital]]</f>
        <v>0.59765822620347264</v>
      </c>
      <c r="F5" s="5">
        <f>Table22[[#This Row],[Total Equity]]/Table22[[#This Row],[Total Capital]]</f>
        <v>0.40234177379652747</v>
      </c>
    </row>
    <row r="6" spans="1:6" x14ac:dyDescent="0.3">
      <c r="A6">
        <v>2024</v>
      </c>
      <c r="B6" s="1">
        <f>Balance_Sheet_Data!F114</f>
        <v>196811.75</v>
      </c>
      <c r="C6" s="1">
        <f>Balance_Sheet_Data!F107</f>
        <v>151061.57999999999</v>
      </c>
      <c r="D6" s="1">
        <f>Table22[[#This Row],[Total Debt]]+Table22[[#This Row],[Total Equity]]</f>
        <v>347873.32999999996</v>
      </c>
      <c r="E6" s="12">
        <f>Table22[[#This Row],[Total Debt]]/Table22[[#This Row],[Total Capital]]</f>
        <v>0.56575693802108951</v>
      </c>
      <c r="F6" s="5">
        <f>Table22[[#This Row],[Total Equity]]/Table22[[#This Row],[Total Capital]]</f>
        <v>0.43424306197891055</v>
      </c>
    </row>
    <row r="7" spans="1:6" x14ac:dyDescent="0.3">
      <c r="A7">
        <v>2025</v>
      </c>
      <c r="B7" s="1">
        <f>Balance_Sheet_Data!G114</f>
        <v>184146.51</v>
      </c>
      <c r="C7" s="1">
        <f>Balance_Sheet_Data!G107</f>
        <v>179725.12</v>
      </c>
      <c r="D7" s="1">
        <f>Table22[[#This Row],[Total Debt]]+Table22[[#This Row],[Total Equity]]</f>
        <v>363871.63</v>
      </c>
      <c r="E7" s="12">
        <f>Table22[[#This Row],[Total Debt]]/Table22[[#This Row],[Total Capital]]</f>
        <v>0.50607548052042417</v>
      </c>
      <c r="F7" s="5">
        <f>Table22[[#This Row],[Total Equity]]/Table22[[#This Row],[Total Capital]]</f>
        <v>0.49392451947957577</v>
      </c>
    </row>
    <row r="10" spans="1:6" x14ac:dyDescent="0.3">
      <c r="A10" t="s">
        <v>310</v>
      </c>
    </row>
    <row r="11" spans="1:6" x14ac:dyDescent="0.3">
      <c r="A11" t="s">
        <v>311</v>
      </c>
    </row>
    <row r="12" spans="1:6" x14ac:dyDescent="0.3">
      <c r="A12" t="s">
        <v>312</v>
      </c>
    </row>
    <row r="13" spans="1:6" x14ac:dyDescent="0.3">
      <c r="A13" t="s">
        <v>313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0E49-DC15-47F4-9729-EDF61C4B138A}">
  <dimension ref="A1:I11"/>
  <sheetViews>
    <sheetView workbookViewId="0">
      <selection activeCell="G16" sqref="G16"/>
    </sheetView>
  </sheetViews>
  <sheetFormatPr defaultRowHeight="14.4" x14ac:dyDescent="0.3"/>
  <cols>
    <col min="2" max="2" width="10.5546875" bestFit="1" customWidth="1"/>
    <col min="4" max="5" width="15.33203125" customWidth="1"/>
    <col min="6" max="6" width="9" bestFit="1" customWidth="1"/>
    <col min="7" max="7" width="20.33203125" bestFit="1" customWidth="1"/>
    <col min="8" max="8" width="23" customWidth="1"/>
    <col min="9" max="9" width="15.5546875" bestFit="1" customWidth="1"/>
  </cols>
  <sheetData>
    <row r="1" spans="1:9" x14ac:dyDescent="0.3">
      <c r="A1" s="31" t="s">
        <v>247</v>
      </c>
      <c r="B1" s="31" t="s">
        <v>248</v>
      </c>
      <c r="C1" s="31" t="s">
        <v>296</v>
      </c>
      <c r="D1" s="31" t="s">
        <v>301</v>
      </c>
      <c r="E1" s="31" t="s">
        <v>300</v>
      </c>
      <c r="F1" s="31" t="s">
        <v>297</v>
      </c>
      <c r="G1" s="31" t="s">
        <v>302</v>
      </c>
      <c r="H1" s="31" t="s">
        <v>298</v>
      </c>
      <c r="I1" s="31" t="s">
        <v>299</v>
      </c>
    </row>
    <row r="2" spans="1:9" x14ac:dyDescent="0.3">
      <c r="A2" s="15">
        <v>2020</v>
      </c>
      <c r="B2" s="16" cm="1">
        <f t="array" ref="B2:B7">TRANSPOSE(Table1[[#This Row],[Mar-20]:[Mar-25]])</f>
        <v>78211.38</v>
      </c>
      <c r="C2" s="15" cm="1">
        <f t="array" ref="C2:C7">TRANSPOSE(Income_Statement_Data!B61:G61)</f>
        <v>21461.05</v>
      </c>
      <c r="D2" s="17"/>
      <c r="E2" s="17"/>
      <c r="F2" s="15" cm="1">
        <f t="array" ref="F2:F7">TRANSPOSE(Income_Statement_Data!B30:G30)</f>
        <v>37428.959999999999</v>
      </c>
      <c r="G2" s="20"/>
      <c r="H2" s="16">
        <f>C2/(C2-F2)</f>
        <v>-1.344011207477998</v>
      </c>
      <c r="I2" s="16">
        <f>C2/F2</f>
        <v>0.5733808794046108</v>
      </c>
    </row>
    <row r="3" spans="1:9" x14ac:dyDescent="0.3">
      <c r="A3" s="15">
        <v>2021</v>
      </c>
      <c r="B3" s="16">
        <v>78217.13</v>
      </c>
      <c r="C3" s="15">
        <v>21893.96</v>
      </c>
      <c r="D3" s="19">
        <f>(B3-B2)/B2</f>
        <v>7.3518713005703263E-5</v>
      </c>
      <c r="E3" s="19">
        <f>(C3-C2)/C2</f>
        <v>2.0171892801144394E-2</v>
      </c>
      <c r="F3" s="15">
        <v>34107.11</v>
      </c>
      <c r="G3" s="21"/>
      <c r="H3" s="16">
        <f t="shared" ref="H3:H7" si="0">C3/(C3-F3)</f>
        <v>-1.7926546386476869</v>
      </c>
      <c r="I3" s="16">
        <f t="shared" ref="I3:I7" si="1">C3/F3</f>
        <v>0.64191777022444874</v>
      </c>
    </row>
    <row r="4" spans="1:9" x14ac:dyDescent="0.3">
      <c r="A4" s="15">
        <v>2022</v>
      </c>
      <c r="B4" s="16">
        <v>85030.89</v>
      </c>
      <c r="C4" s="15">
        <v>24258.82</v>
      </c>
      <c r="D4" s="19">
        <f t="shared" ref="D4:D7" si="2">(B4-B3)/B3</f>
        <v>8.7113398305460638E-2</v>
      </c>
      <c r="E4" s="19">
        <f t="shared" ref="E4:E7" si="3">(C4-C3)/C3</f>
        <v>0.10801426512152214</v>
      </c>
      <c r="F4" s="15">
        <v>34244.61</v>
      </c>
      <c r="G4" s="16">
        <f t="shared" ref="G4:G7" si="4">E4/D4</f>
        <v>1.2399271205420457</v>
      </c>
      <c r="H4" s="16">
        <f t="shared" si="0"/>
        <v>-2.4293340837329844</v>
      </c>
      <c r="I4" s="16">
        <f t="shared" si="1"/>
        <v>0.70839819755576128</v>
      </c>
    </row>
    <row r="5" spans="1:9" x14ac:dyDescent="0.3">
      <c r="A5" s="15">
        <v>2023</v>
      </c>
      <c r="B5" s="16">
        <v>105788.58</v>
      </c>
      <c r="C5" s="15">
        <v>19278.16</v>
      </c>
      <c r="D5" s="19">
        <f t="shared" si="2"/>
        <v>0.24411940178445743</v>
      </c>
      <c r="E5" s="19">
        <f t="shared" si="3"/>
        <v>-0.20531336643744419</v>
      </c>
      <c r="F5" s="15">
        <v>42218.02</v>
      </c>
      <c r="G5" s="16">
        <f t="shared" si="4"/>
        <v>-0.8410366604892936</v>
      </c>
      <c r="H5" s="16">
        <f t="shared" si="0"/>
        <v>-0.84037827606620108</v>
      </c>
      <c r="I5" s="16">
        <f t="shared" si="1"/>
        <v>0.45663344704465064</v>
      </c>
    </row>
    <row r="6" spans="1:9" x14ac:dyDescent="0.3">
      <c r="A6" s="15">
        <v>2024</v>
      </c>
      <c r="B6" s="16">
        <v>134866.89000000001</v>
      </c>
      <c r="C6" s="15">
        <v>36710.449999999997</v>
      </c>
      <c r="D6" s="19">
        <f t="shared" si="2"/>
        <v>0.27487191906725672</v>
      </c>
      <c r="E6" s="19">
        <f t="shared" si="3"/>
        <v>0.90425071687339442</v>
      </c>
      <c r="F6" s="15">
        <v>59474.16</v>
      </c>
      <c r="G6" s="16">
        <f t="shared" si="4"/>
        <v>3.2897166067085188</v>
      </c>
      <c r="H6" s="16">
        <f t="shared" si="0"/>
        <v>-1.6126742960615816</v>
      </c>
      <c r="I6" s="16">
        <f t="shared" si="1"/>
        <v>0.61725041597897301</v>
      </c>
    </row>
    <row r="7" spans="1:9" x14ac:dyDescent="0.3">
      <c r="A7" s="15">
        <v>2025</v>
      </c>
      <c r="B7" s="16">
        <v>152144.97</v>
      </c>
      <c r="C7" s="15">
        <v>41565.07</v>
      </c>
      <c r="D7" s="19">
        <f t="shared" si="2"/>
        <v>0.12811209630473414</v>
      </c>
      <c r="E7" s="19">
        <f t="shared" si="3"/>
        <v>0.13224081971209842</v>
      </c>
      <c r="F7" s="15">
        <v>68329.22</v>
      </c>
      <c r="G7" s="16">
        <f t="shared" si="4"/>
        <v>1.0322274283729109</v>
      </c>
      <c r="H7" s="16">
        <f t="shared" si="0"/>
        <v>-1.553012892245784</v>
      </c>
      <c r="I7" s="16">
        <f t="shared" si="1"/>
        <v>0.60830593412305889</v>
      </c>
    </row>
    <row r="9" spans="1:9" x14ac:dyDescent="0.3">
      <c r="H9" t="s">
        <v>303</v>
      </c>
    </row>
    <row r="10" spans="1:9" x14ac:dyDescent="0.3">
      <c r="H10" t="s">
        <v>304</v>
      </c>
    </row>
    <row r="11" spans="1:9" x14ac:dyDescent="0.3">
      <c r="H11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2563-F1F0-40B0-84E0-054F6D71F7E8}">
  <dimension ref="A1:I13"/>
  <sheetViews>
    <sheetView workbookViewId="0">
      <selection activeCell="H15" sqref="H15"/>
    </sheetView>
  </sheetViews>
  <sheetFormatPr defaultColWidth="13.77734375" defaultRowHeight="14.4" x14ac:dyDescent="0.3"/>
  <sheetData>
    <row r="1" spans="1:9" ht="28.8" x14ac:dyDescent="0.3">
      <c r="A1" s="24" t="s">
        <v>247</v>
      </c>
      <c r="B1" s="24" t="s">
        <v>248</v>
      </c>
      <c r="C1" s="24" t="s">
        <v>249</v>
      </c>
      <c r="D1" s="24" t="s">
        <v>318</v>
      </c>
      <c r="E1" s="24" t="s">
        <v>250</v>
      </c>
      <c r="F1" s="24" t="s">
        <v>314</v>
      </c>
      <c r="G1" s="24" t="s">
        <v>315</v>
      </c>
      <c r="H1" s="24" t="s">
        <v>316</v>
      </c>
      <c r="I1" s="24" t="s">
        <v>317</v>
      </c>
    </row>
    <row r="2" spans="1:9" x14ac:dyDescent="0.3">
      <c r="A2" s="15">
        <v>2020</v>
      </c>
      <c r="B2" s="15" cm="1">
        <f t="array" ref="B2:B7">TRANSPOSE(Table1[[#This Row],[Mar-20]:[Mar-25]])</f>
        <v>78211.38</v>
      </c>
      <c r="C2" s="15" cm="1">
        <f t="array" ref="C2:C7">TRANSPOSE(Ratios_Data!B36:G36)</f>
        <v>43.54</v>
      </c>
      <c r="D2" s="15" cm="1">
        <f t="array" ref="D2:D7">TRANSPOSE(Balance_Sheet_Data!B107:G107)</f>
        <v>84947.839999999997</v>
      </c>
      <c r="E2" s="15" cm="1">
        <f t="array" ref="E2:E7">TRANSPOSE(Balance_Sheet_Data!B74:G74)</f>
        <v>915222.36</v>
      </c>
      <c r="F2" s="22">
        <f>C2/D2</f>
        <v>5.1254981880645824E-4</v>
      </c>
      <c r="G2" s="18">
        <f>C2/E2</f>
        <v>4.7573138401032944E-5</v>
      </c>
      <c r="H2" s="22">
        <f>C2/B2</f>
        <v>5.5669648074231648E-4</v>
      </c>
      <c r="I2" s="16">
        <f>B2/E2</f>
        <v>8.5456150787225085E-2</v>
      </c>
    </row>
    <row r="3" spans="1:9" x14ac:dyDescent="0.3">
      <c r="A3" s="15">
        <v>2021</v>
      </c>
      <c r="B3" s="15">
        <v>78217.13</v>
      </c>
      <c r="C3" s="15">
        <v>5323.99</v>
      </c>
      <c r="D3" s="15">
        <v>101603.01</v>
      </c>
      <c r="E3" s="15">
        <v>996160.46</v>
      </c>
      <c r="F3" s="22">
        <f t="shared" ref="F3:F7" si="0">C3/D3</f>
        <v>5.2399923978630164E-2</v>
      </c>
      <c r="G3" s="18">
        <f t="shared" ref="G3:G7" si="1">C3/E3</f>
        <v>5.3445104616981079E-3</v>
      </c>
      <c r="H3" s="22">
        <f t="shared" ref="H3:H7" si="2">C3/B3</f>
        <v>6.8066803269309417E-2</v>
      </c>
      <c r="I3" s="16">
        <f t="shared" ref="I3:I7" si="3">B3/E3</f>
        <v>7.8518605325892984E-2</v>
      </c>
    </row>
    <row r="4" spans="1:9" x14ac:dyDescent="0.3">
      <c r="A4" s="15">
        <v>2022</v>
      </c>
      <c r="B4" s="15">
        <v>85030.89</v>
      </c>
      <c r="C4" s="15">
        <v>10601.71</v>
      </c>
      <c r="D4" s="15">
        <v>115174.06</v>
      </c>
      <c r="E4" s="15">
        <v>1175625.24</v>
      </c>
      <c r="F4" s="22">
        <f t="shared" si="0"/>
        <v>9.2049459748141202E-2</v>
      </c>
      <c r="G4" s="18">
        <f t="shared" si="1"/>
        <v>9.0179332999009102E-3</v>
      </c>
      <c r="H4" s="22">
        <f t="shared" si="2"/>
        <v>0.1246806895705784</v>
      </c>
      <c r="I4" s="16">
        <f t="shared" si="3"/>
        <v>7.2328227658671224E-2</v>
      </c>
    </row>
    <row r="5" spans="1:9" x14ac:dyDescent="0.3">
      <c r="A5" s="15">
        <v>2023</v>
      </c>
      <c r="B5" s="15">
        <v>105788.58</v>
      </c>
      <c r="C5" s="15">
        <v>5707.43</v>
      </c>
      <c r="D5" s="15">
        <v>125416.65</v>
      </c>
      <c r="E5" s="15">
        <v>1317743.8500000001</v>
      </c>
      <c r="F5" s="22">
        <f t="shared" si="0"/>
        <v>4.5507753555847651E-2</v>
      </c>
      <c r="G5" s="18">
        <f t="shared" si="1"/>
        <v>4.3312135359235403E-3</v>
      </c>
      <c r="H5" s="22">
        <f t="shared" si="2"/>
        <v>5.3951286613356568E-2</v>
      </c>
      <c r="I5" s="16">
        <f t="shared" si="3"/>
        <v>8.0280078711807298E-2</v>
      </c>
    </row>
    <row r="6" spans="1:9" x14ac:dyDescent="0.3">
      <c r="A6" s="15">
        <v>2024</v>
      </c>
      <c r="B6" s="15">
        <v>134866.89000000001</v>
      </c>
      <c r="C6" s="15">
        <v>21812.57</v>
      </c>
      <c r="D6" s="15">
        <v>151061.57999999999</v>
      </c>
      <c r="E6" s="15">
        <v>1477892.9</v>
      </c>
      <c r="F6" s="22">
        <f t="shared" si="0"/>
        <v>0.1443952194859871</v>
      </c>
      <c r="G6" s="18">
        <f t="shared" si="1"/>
        <v>1.475923593651475E-2</v>
      </c>
      <c r="H6" s="22">
        <f t="shared" si="2"/>
        <v>0.16173406237809737</v>
      </c>
      <c r="I6" s="16">
        <f t="shared" si="3"/>
        <v>9.1256199958738571E-2</v>
      </c>
    </row>
    <row r="7" spans="1:9" x14ac:dyDescent="0.3">
      <c r="A7" s="15">
        <v>2025</v>
      </c>
      <c r="B7" s="15">
        <v>152144.97</v>
      </c>
      <c r="C7" s="15">
        <v>22181.52</v>
      </c>
      <c r="D7" s="15">
        <v>179725.12</v>
      </c>
      <c r="E7" s="15">
        <v>1611217.9199999999</v>
      </c>
      <c r="F7" s="22">
        <f t="shared" si="0"/>
        <v>0.12341914140883591</v>
      </c>
      <c r="G7" s="18">
        <f t="shared" si="1"/>
        <v>1.3766927319179768E-2</v>
      </c>
      <c r="H7" s="22">
        <f t="shared" si="2"/>
        <v>0.14579200350823296</v>
      </c>
      <c r="I7" s="16">
        <f t="shared" si="3"/>
        <v>9.4428548808593193E-2</v>
      </c>
    </row>
    <row r="9" spans="1:9" x14ac:dyDescent="0.3">
      <c r="A9" s="23" t="s">
        <v>319</v>
      </c>
    </row>
    <row r="10" spans="1:9" x14ac:dyDescent="0.3">
      <c r="A10" s="23" t="s">
        <v>320</v>
      </c>
    </row>
    <row r="11" spans="1:9" x14ac:dyDescent="0.3">
      <c r="A11" s="23" t="s">
        <v>321</v>
      </c>
    </row>
    <row r="12" spans="1:9" x14ac:dyDescent="0.3">
      <c r="A12" s="23" t="s">
        <v>322</v>
      </c>
    </row>
    <row r="13" spans="1:9" x14ac:dyDescent="0.3">
      <c r="A13" s="23" t="s">
        <v>323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9D88-6A8D-4E14-B290-104AF558D591}">
  <dimension ref="A1:E14"/>
  <sheetViews>
    <sheetView workbookViewId="0">
      <selection activeCell="D23" sqref="D23"/>
    </sheetView>
  </sheetViews>
  <sheetFormatPr defaultRowHeight="14.4" x14ac:dyDescent="0.3"/>
  <cols>
    <col min="2" max="2" width="18.5546875" customWidth="1"/>
    <col min="3" max="3" width="7" bestFit="1" customWidth="1"/>
    <col min="4" max="4" width="15.77734375" bestFit="1" customWidth="1"/>
    <col min="5" max="5" width="15.5546875" customWidth="1"/>
  </cols>
  <sheetData>
    <row r="1" spans="1:5" x14ac:dyDescent="0.3">
      <c r="A1" s="26" t="s">
        <v>247</v>
      </c>
      <c r="B1" s="26" t="s">
        <v>335</v>
      </c>
      <c r="C1" s="26" t="s">
        <v>336</v>
      </c>
      <c r="D1" s="26" t="s">
        <v>337</v>
      </c>
      <c r="E1" s="26" t="s">
        <v>338</v>
      </c>
    </row>
    <row r="2" spans="1:5" x14ac:dyDescent="0.3">
      <c r="A2" s="15">
        <v>2020</v>
      </c>
      <c r="B2" s="15"/>
      <c r="C2" s="15" cm="1">
        <f t="array" ref="C2:C7">TRANSPOSE(Ratios_Data!B11:G11)</f>
        <v>0.15</v>
      </c>
      <c r="D2" s="15"/>
      <c r="E2" s="15"/>
    </row>
    <row r="3" spans="1:5" x14ac:dyDescent="0.3">
      <c r="A3" s="15">
        <v>2021</v>
      </c>
      <c r="B3" s="15"/>
      <c r="C3" s="15">
        <v>17.38</v>
      </c>
      <c r="D3" s="15"/>
      <c r="E3" s="15"/>
    </row>
    <row r="4" spans="1:5" x14ac:dyDescent="0.3">
      <c r="A4" s="15">
        <v>2022</v>
      </c>
      <c r="B4" s="15">
        <f>Market_Data!C6</f>
        <v>1</v>
      </c>
      <c r="C4" s="15">
        <v>34.54</v>
      </c>
      <c r="D4" s="22">
        <f>B4/C4</f>
        <v>2.8951939779965258E-2</v>
      </c>
      <c r="E4" s="22">
        <f>1-D4</f>
        <v>0.97104806022003476</v>
      </c>
    </row>
    <row r="5" spans="1:5" x14ac:dyDescent="0.3">
      <c r="A5" s="15">
        <v>2023</v>
      </c>
      <c r="B5" s="15">
        <f>Table8[[#This Row],[Dividend per share]]</f>
        <v>1</v>
      </c>
      <c r="C5" s="15">
        <v>18.55</v>
      </c>
      <c r="D5" s="22">
        <f t="shared" ref="D5:D7" si="0">B5/C5</f>
        <v>5.3908355795148244E-2</v>
      </c>
      <c r="E5" s="22">
        <f t="shared" ref="E5:E7" si="1">1-D5</f>
        <v>0.9460916442048517</v>
      </c>
    </row>
    <row r="6" spans="1:5" x14ac:dyDescent="0.3">
      <c r="A6" s="15">
        <v>2024</v>
      </c>
      <c r="B6" s="15">
        <f>Market_Data!C4</f>
        <v>1</v>
      </c>
      <c r="C6" s="15">
        <v>26.34</v>
      </c>
      <c r="D6" s="22">
        <f t="shared" si="0"/>
        <v>3.7965072133637055E-2</v>
      </c>
      <c r="E6" s="22">
        <f t="shared" si="1"/>
        <v>0.96203492786636291</v>
      </c>
    </row>
    <row r="7" spans="1:5" x14ac:dyDescent="0.3">
      <c r="A7" s="15">
        <v>2025</v>
      </c>
      <c r="B7" s="15">
        <f>Market_Data!C3</f>
        <v>1</v>
      </c>
      <c r="C7" s="15">
        <v>75.34</v>
      </c>
      <c r="D7" s="22">
        <f t="shared" si="0"/>
        <v>1.3273161667109104E-2</v>
      </c>
      <c r="E7" s="22">
        <f t="shared" si="1"/>
        <v>0.98672683833289088</v>
      </c>
    </row>
    <row r="10" spans="1:5" x14ac:dyDescent="0.3">
      <c r="B10" t="s">
        <v>339</v>
      </c>
    </row>
    <row r="11" spans="1:5" x14ac:dyDescent="0.3">
      <c r="B11" t="s">
        <v>340</v>
      </c>
    </row>
    <row r="12" spans="1:5" x14ac:dyDescent="0.3">
      <c r="B12" t="s">
        <v>341</v>
      </c>
    </row>
    <row r="13" spans="1:5" x14ac:dyDescent="0.3">
      <c r="B13" t="s">
        <v>342</v>
      </c>
    </row>
    <row r="14" spans="1:5" x14ac:dyDescent="0.3">
      <c r="B14" t="s">
        <v>343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6010-AB41-4AE2-A0BB-1AE375E13C20}">
  <dimension ref="A1"/>
  <sheetViews>
    <sheetView topLeftCell="A14" workbookViewId="0">
      <selection activeCell="I42" sqref="I4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A8ADA-3364-4C4B-A931-C47F3AF04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Income_Statement_Data</vt:lpstr>
      <vt:lpstr>Balance_Sheet_Data</vt:lpstr>
      <vt:lpstr>Market_Data</vt:lpstr>
      <vt:lpstr>Ratios_Data</vt:lpstr>
      <vt:lpstr>Trend_Analysis</vt:lpstr>
      <vt:lpstr>TVM_Analysis</vt:lpstr>
      <vt:lpstr>WACC_Analysis</vt:lpstr>
      <vt:lpstr>Capital_Budgeting_Analysis</vt:lpstr>
      <vt:lpstr>Capital_Structure_Analysis</vt:lpstr>
      <vt:lpstr>Leverage_Analysis</vt:lpstr>
      <vt:lpstr>Ratio_Analysis</vt:lpstr>
      <vt:lpstr>Dividend_Policy_Analysis</vt:lpstr>
      <vt:lpstr>Final_Conclusion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Deore</dc:creator>
  <cp:lastModifiedBy>Amol Deore</cp:lastModifiedBy>
  <cp:lastPrinted>2026-04-02T05:13:21Z</cp:lastPrinted>
  <dcterms:created xsi:type="dcterms:W3CDTF">2026-03-24T18:19:17Z</dcterms:created>
  <dcterms:modified xsi:type="dcterms:W3CDTF">2026-09-23T13:13:05Z</dcterms:modified>
</cp:coreProperties>
</file>